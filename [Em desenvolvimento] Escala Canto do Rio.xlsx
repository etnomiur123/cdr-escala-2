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26" sheetId="1" r:id="rId5"/>
    <sheet state="visible" name="Repertório" sheetId="2" r:id="rId6"/>
    <sheet state="visible" name="Membros e RV" sheetId="3" r:id="rId7"/>
    <sheet state="visible" name="Base" sheetId="4" r:id="rId8"/>
    <sheet state="visible" name="Folha10" sheetId="5" r:id="rId9"/>
    <sheet state="hidden" name="Base old" sheetId="6" r:id="rId10"/>
    <sheet state="visible" name="Mai26" sheetId="7" r:id="rId11"/>
    <sheet state="visible" name="Abr26" sheetId="8" r:id="rId12"/>
    <sheet state="visible" name="Mar26" sheetId="9" r:id="rId13"/>
    <sheet state="visible" name="Fev26" sheetId="10" r:id="rId14"/>
    <sheet state="visible" name="Jan26" sheetId="11" r:id="rId15"/>
    <sheet state="visible" name="Dez25" sheetId="12" r:id="rId16"/>
    <sheet state="visible" name="Nov25" sheetId="13" r:id="rId17"/>
    <sheet state="visible" name="Out25" sheetId="14" r:id="rId18"/>
    <sheet state="visible" name="Set25" sheetId="15" r:id="rId19"/>
    <sheet state="visible" name="Ago25" sheetId="16" r:id="rId20"/>
    <sheet state="visible" name="Jul25" sheetId="17" r:id="rId21"/>
    <sheet state="visible" name="Jun25" sheetId="18" r:id="rId22"/>
    <sheet state="visible" name="Mai25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tc={20a9a2eb-9477-402a-8e74-d3f4c9e88689}</author>
  </authors>
  <commentList>
    <comment authorId="0" xr:uid="{20a9a2eb-9477-402a-8e74-d3f4c9e88689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podem trocar DESTINO x FMP, Prodígio meteu se necessário em ambos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tc={b87630b8-ddc4-4b44-967a-09e96de2fcff}</author>
    <author>tc={bcad80af-91bd-4c15-aed3-35b3417cea44}</author>
  </authors>
  <commentList>
    <comment authorId="0" xr:uid="{b87630b8-ddc4-4b44-967a-09e96de2fcff}" ref="M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Todos estavam "se necessário" 
Se quiseres fala com o pessoal e vê o que preferes
</t>
      </text>
    </comment>
    <comment authorId="1" xr:uid="{bcad80af-91bd-4c15-aed3-35b3417cea44}" ref="M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Todos estavam "se necessário" 
Se quiseres fala com o pessoal e vê o que preferes
</t>
      </text>
    </comment>
  </commentList>
</comments>
</file>

<file path=xl/sharedStrings.xml><?xml version="1.0" encoding="utf-8"?>
<sst xmlns="http://schemas.openxmlformats.org/spreadsheetml/2006/main" count="6149" uniqueCount="239">
  <si>
    <t xml:space="preserve"> </t>
  </si>
  <si>
    <t>Escala de:</t>
  </si>
  <si>
    <r>
      <rPr>
        <rFont val="Arial"/>
        <color theme="1"/>
        <sz val="17.0"/>
      </rPr>
      <t xml:space="preserve">Disponibilidades - </t>
    </r>
    <r>
      <rPr>
        <rFont val="Arial"/>
        <i/>
        <color theme="1"/>
        <sz val="17.0"/>
      </rPr>
      <t>junho</t>
    </r>
  </si>
  <si>
    <t>Data de hoje</t>
  </si>
  <si>
    <t>Dia da Semana</t>
  </si>
  <si>
    <t>Dia</t>
  </si>
  <si>
    <t>Sessões</t>
  </si>
  <si>
    <t>Vocalista</t>
  </si>
  <si>
    <t>Guitarra</t>
  </si>
  <si>
    <t>Viola</t>
  </si>
  <si>
    <t>DESTINO - ESPÉTACULO 1 HORA</t>
  </si>
  <si>
    <t>2ª feira</t>
  </si>
  <si>
    <t>18h00</t>
  </si>
  <si>
    <t>Pipo</t>
  </si>
  <si>
    <t>Afonso</t>
  </si>
  <si>
    <t>Prodígio</t>
  </si>
  <si>
    <t>19h30</t>
  </si>
  <si>
    <t>3ª feira</t>
  </si>
  <si>
    <t>Geni</t>
  </si>
  <si>
    <t>Apostas</t>
  </si>
  <si>
    <t>21h15</t>
  </si>
  <si>
    <t>4ª feira</t>
  </si>
  <si>
    <t>Tuna</t>
  </si>
  <si>
    <t>5ª feira</t>
  </si>
  <si>
    <t>Pedro</t>
  </si>
  <si>
    <t>6ª feira</t>
  </si>
  <si>
    <t>Sorte</t>
  </si>
  <si>
    <t>19h00</t>
  </si>
  <si>
    <t>-</t>
  </si>
  <si>
    <t>Sábado</t>
  </si>
  <si>
    <t>Mira</t>
  </si>
  <si>
    <t>Domingo</t>
  </si>
  <si>
    <t>16h00</t>
  </si>
  <si>
    <t>Marco Paulo</t>
  </si>
  <si>
    <t>Monte</t>
  </si>
  <si>
    <t>Gift</t>
  </si>
  <si>
    <t>Membros</t>
  </si>
  <si>
    <t>Nº Sessões</t>
  </si>
  <si>
    <t>Valor a Receber</t>
  </si>
  <si>
    <t>Total de sessões</t>
  </si>
  <si>
    <t>Total a receber €</t>
  </si>
  <si>
    <t>TOTAL</t>
  </si>
  <si>
    <t>Vocalistas</t>
  </si>
  <si>
    <t>Pablo</t>
  </si>
  <si>
    <t>Tavares</t>
  </si>
  <si>
    <t>Guilherme</t>
  </si>
  <si>
    <t>Tomás</t>
  </si>
  <si>
    <t>Guitarras Portuguesas</t>
  </si>
  <si>
    <t>JP</t>
  </si>
  <si>
    <t>Violas</t>
  </si>
  <si>
    <t>Poço</t>
  </si>
  <si>
    <t>€€€</t>
  </si>
  <si>
    <t>Legenda</t>
  </si>
  <si>
    <t>Grupos</t>
  </si>
  <si>
    <t>Medicina</t>
  </si>
  <si>
    <t>16h</t>
  </si>
  <si>
    <t>Dia da semana "normal"</t>
  </si>
  <si>
    <t>Literatus</t>
  </si>
  <si>
    <t>18h</t>
  </si>
  <si>
    <t>Sesssão dupla</t>
  </si>
  <si>
    <t>Enfermagem</t>
  </si>
  <si>
    <t>19h / 19h30</t>
  </si>
  <si>
    <t>Sesssão tripla</t>
  </si>
  <si>
    <t>21h  / 21h30</t>
  </si>
  <si>
    <t>Sessão Extra 🇰🇷</t>
  </si>
  <si>
    <t>Nome</t>
  </si>
  <si>
    <t>Único disponivel</t>
  </si>
  <si>
    <t>Não passa recibo</t>
  </si>
  <si>
    <t>Sem disponibilidade</t>
  </si>
  <si>
    <t>dias em aberto</t>
  </si>
  <si>
    <t>não contar este mês</t>
  </si>
  <si>
    <t>N.º total de sessões</t>
  </si>
  <si>
    <t>Tarefa</t>
  </si>
  <si>
    <t>A Carta</t>
  </si>
  <si>
    <t>Ré</t>
  </si>
  <si>
    <t>À Meia Noite ao Luar</t>
  </si>
  <si>
    <t>Sol</t>
  </si>
  <si>
    <t>Abril em Portugal</t>
  </si>
  <si>
    <t>Mi</t>
  </si>
  <si>
    <t xml:space="preserve">Asas Brancas </t>
  </si>
  <si>
    <t>Rém</t>
  </si>
  <si>
    <t xml:space="preserve">Balada da Distância </t>
  </si>
  <si>
    <t>Balada de Florêncio</t>
  </si>
  <si>
    <t>Dó#</t>
  </si>
  <si>
    <t xml:space="preserve">Balada de Outono </t>
  </si>
  <si>
    <t>Lá m</t>
  </si>
  <si>
    <t>Lám</t>
  </si>
  <si>
    <t>Balada do Mar</t>
  </si>
  <si>
    <t xml:space="preserve">Lám </t>
  </si>
  <si>
    <t xml:space="preserve">Balada do Rei Vadio </t>
  </si>
  <si>
    <t>Mim</t>
  </si>
  <si>
    <t>Cançã Pagã</t>
  </si>
  <si>
    <t>(ver tom)</t>
  </si>
  <si>
    <t>Canção das Lágrimas</t>
  </si>
  <si>
    <t>Ré m</t>
  </si>
  <si>
    <t>Canção de Embalar</t>
  </si>
  <si>
    <t xml:space="preserve">Canção do Alentejo </t>
  </si>
  <si>
    <t xml:space="preserve">Canção Para Quase Todos </t>
  </si>
  <si>
    <t>Lá</t>
  </si>
  <si>
    <t>Cantar de Emigração</t>
  </si>
  <si>
    <t xml:space="preserve">Cantiga Para Quem Sonha </t>
  </si>
  <si>
    <t xml:space="preserve">Capa Negra, Rosa Negra </t>
  </si>
  <si>
    <t>Cativeiro</t>
  </si>
  <si>
    <t>Coimbra Menina e Moça</t>
  </si>
  <si>
    <t>Ré#</t>
  </si>
  <si>
    <t xml:space="preserve">Contos Velhinhos </t>
  </si>
  <si>
    <t>Dó</t>
  </si>
  <si>
    <t xml:space="preserve">Crucificado </t>
  </si>
  <si>
    <t>É preciso acreditar</t>
  </si>
  <si>
    <t>É tão lindo o teu olhar</t>
  </si>
  <si>
    <t>Fado da Ansiedade</t>
  </si>
  <si>
    <t>Fado da Despedida (Goes)</t>
  </si>
  <si>
    <t>Fado da Noite</t>
  </si>
  <si>
    <t>Fado da Promessa</t>
  </si>
  <si>
    <t>Fado das Águias</t>
  </si>
  <si>
    <t>Si</t>
  </si>
  <si>
    <t>Fado das Andorinhas</t>
  </si>
  <si>
    <t xml:space="preserve">Fado do Estudante </t>
  </si>
  <si>
    <t>Fado dos Beijos</t>
  </si>
  <si>
    <t>Fado Hilário</t>
  </si>
  <si>
    <t xml:space="preserve">Sol/Lá </t>
  </si>
  <si>
    <t>Sol/Lá</t>
  </si>
  <si>
    <t xml:space="preserve">Fado Para Um Amor Ausente </t>
  </si>
  <si>
    <t xml:space="preserve">Fado Triste </t>
  </si>
  <si>
    <t>Fados das Saudades</t>
  </si>
  <si>
    <t>Sol m</t>
  </si>
  <si>
    <t>Fados dos Olhos Claros</t>
  </si>
  <si>
    <t xml:space="preserve">Rém </t>
  </si>
  <si>
    <t>Feiticeira</t>
  </si>
  <si>
    <t xml:space="preserve">Flores Para Coimbra </t>
  </si>
  <si>
    <t>Incerteza</t>
  </si>
  <si>
    <t xml:space="preserve">Lianor </t>
  </si>
  <si>
    <t xml:space="preserve">(ver tom) </t>
  </si>
  <si>
    <t>Mar Alto</t>
  </si>
  <si>
    <t>Maria</t>
  </si>
  <si>
    <t>Não canto</t>
  </si>
  <si>
    <t>Sim</t>
  </si>
  <si>
    <t>Maria se fores ao Baile</t>
  </si>
  <si>
    <t>Menino D'oiro</t>
  </si>
  <si>
    <t>Minha Barca</t>
  </si>
  <si>
    <t>Minha Mãe</t>
  </si>
  <si>
    <t xml:space="preserve">Minho Encantador </t>
  </si>
  <si>
    <t>Não Olhes Para os Meus Olhos</t>
  </si>
  <si>
    <t>Nasce na Estrela o Mondego</t>
  </si>
  <si>
    <t>O Meu Desejo</t>
  </si>
  <si>
    <t>O Meu Fado</t>
  </si>
  <si>
    <t>O Meu Menino</t>
  </si>
  <si>
    <t>Ondas do Mar</t>
  </si>
  <si>
    <t xml:space="preserve">Ré </t>
  </si>
  <si>
    <t>Ré/Mi</t>
  </si>
  <si>
    <t>Passarinho da Ribeira</t>
  </si>
  <si>
    <t xml:space="preserve">Poema Para Um Menino </t>
  </si>
  <si>
    <t>Lam</t>
  </si>
  <si>
    <t>Quando os Sinos Dobram</t>
  </si>
  <si>
    <t>Rosas Brancas</t>
  </si>
  <si>
    <t>Samaritana</t>
  </si>
  <si>
    <t xml:space="preserve">Samaritana </t>
  </si>
  <si>
    <t>MI</t>
  </si>
  <si>
    <t>Saudades de Coimbra</t>
  </si>
  <si>
    <t>Sol/La</t>
  </si>
  <si>
    <t xml:space="preserve">Sol anda lá no Céu </t>
  </si>
  <si>
    <t>Tenho Barcos, Tenho Remos</t>
  </si>
  <si>
    <t>Toada Beirã</t>
  </si>
  <si>
    <t>Trova do Vento Que Passa</t>
  </si>
  <si>
    <t xml:space="preserve">Última Canção de Amor </t>
  </si>
  <si>
    <t xml:space="preserve">Uma Lenda do Levante </t>
  </si>
  <si>
    <t xml:space="preserve">Viagem de acaso </t>
  </si>
  <si>
    <t>Fá</t>
  </si>
  <si>
    <t>Vira de Coimbra</t>
  </si>
  <si>
    <t>Membro</t>
  </si>
  <si>
    <t>Naipe</t>
  </si>
  <si>
    <t>Disponibilidade (preferência)</t>
  </si>
  <si>
    <t>Email</t>
  </si>
  <si>
    <t>Recibos</t>
  </si>
  <si>
    <t>Recibo passado</t>
  </si>
  <si>
    <t>Notas</t>
  </si>
  <si>
    <t>Total</t>
  </si>
  <si>
    <t>amgmoura15@gmail.com</t>
  </si>
  <si>
    <t>Passa o seu</t>
  </si>
  <si>
    <t>Com atividade aberta própria</t>
  </si>
  <si>
    <t>Limitada</t>
  </si>
  <si>
    <t>rafaelmqpereira@gmail.com</t>
  </si>
  <si>
    <t>Rodrigo Mira</t>
  </si>
  <si>
    <t>Precisa que alguém passe</t>
  </si>
  <si>
    <t>luisreis.arq@gmail.com</t>
  </si>
  <si>
    <t>Sem atividade aberta</t>
  </si>
  <si>
    <t>franciscotava50@gmail.com</t>
  </si>
  <si>
    <t>Pouca</t>
  </si>
  <si>
    <t>joseanibalst@gmail.com</t>
  </si>
  <si>
    <t>jotafigs.info@gmail.com</t>
  </si>
  <si>
    <t>j.t.teixeira@hotmail.com</t>
  </si>
  <si>
    <t>heldergiftferreira@gmail.com</t>
  </si>
  <si>
    <t>ruiamericomonte@gmail.com</t>
  </si>
  <si>
    <t>jdjpsorte@gmail.com</t>
  </si>
  <si>
    <t>eduardojcgon@gmail.com</t>
  </si>
  <si>
    <t>afonsomsilva00@gmail.com</t>
  </si>
  <si>
    <t>Outro</t>
  </si>
  <si>
    <t>Com atividade aberta, através do Avô</t>
  </si>
  <si>
    <r>
      <rPr>
        <rFont val="Arial"/>
        <color theme="1"/>
        <sz val="17.0"/>
      </rPr>
      <t xml:space="preserve">Disponibilidades - </t>
    </r>
    <r>
      <rPr>
        <rFont val="Arial"/>
        <i/>
        <color theme="1"/>
        <sz val="17.0"/>
      </rPr>
      <t>mês</t>
    </r>
  </si>
  <si>
    <t>Disponibilidades - mês</t>
  </si>
  <si>
    <t>17h00</t>
  </si>
  <si>
    <t>Gustavo</t>
  </si>
  <si>
    <t>Outras pessoas / grupos</t>
  </si>
  <si>
    <t>INCOMPLETO</t>
  </si>
  <si>
    <t>Disponibilidades - maio</t>
  </si>
  <si>
    <t>Apoio á casa (10€)</t>
  </si>
  <si>
    <t>Nico</t>
  </si>
  <si>
    <t>Sobral</t>
  </si>
  <si>
    <t>Eusébio</t>
  </si>
  <si>
    <t>Apoio à casa
 (€ valor total)</t>
  </si>
  <si>
    <t>Disponibilidades - abril</t>
  </si>
  <si>
    <t>17h30</t>
  </si>
  <si>
    <t>P</t>
  </si>
  <si>
    <t>3ª  feira</t>
  </si>
  <si>
    <t>p</t>
  </si>
  <si>
    <t>Nº Sessões (20€)</t>
  </si>
  <si>
    <t>Disponibilidades - Fevereiro</t>
  </si>
  <si>
    <t>Disponibilidades - Janeiro</t>
  </si>
  <si>
    <t>DESTINO - ESPETÁCULO MISTO &amp; 1 HORA</t>
  </si>
  <si>
    <t>DESTINO - passa a ser apenas um solista</t>
  </si>
  <si>
    <t>6ª feira passa a ser às 19h</t>
  </si>
  <si>
    <t>Domingo mantém-se às 17h30</t>
  </si>
  <si>
    <t>Rufus</t>
  </si>
  <si>
    <t>Canholas</t>
  </si>
  <si>
    <t>Disponibilidades - Dezembro</t>
  </si>
  <si>
    <t>18h30</t>
  </si>
  <si>
    <t>21h00</t>
  </si>
  <si>
    <t>Disponibilidades - setembro</t>
  </si>
  <si>
    <t>Ainda em aberto, erros administrativos</t>
  </si>
  <si>
    <t>/</t>
  </si>
  <si>
    <t>*</t>
  </si>
  <si>
    <t>6yr</t>
  </si>
  <si>
    <t>Disponibilidades - agosto</t>
  </si>
  <si>
    <t>Disponibilidades - julho</t>
  </si>
  <si>
    <t>FMP</t>
  </si>
  <si>
    <t>DESTINO</t>
  </si>
  <si>
    <t>Disponibilidades - junho</t>
  </si>
  <si>
    <t>Tiago</t>
  </si>
  <si>
    <t>16h15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</si>
</sst>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&quot; &quot;yyyy"/>
    <numFmt numFmtId="165" formatCode="d/m/yyyy"/>
    <numFmt numFmtId="166" formatCode="#,##0.00\ [$€-1]"/>
    <numFmt numFmtId="167" formatCode="#,##0&quot;€&quot;"/>
    <numFmt numFmtId="168" formatCode="&quot; &quot;mmmm&quot; &quot;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7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/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i/>
      <sz val="12.0"/>
      <color theme="1"/>
      <name val="Arial"/>
      <scheme val="minor"/>
    </font>
    <font>
      <b/>
      <sz val="20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7.0"/>
      <color theme="1"/>
      <name val="Arial"/>
      <scheme val="minor"/>
    </font>
    <font>
      <i/>
      <sz val="12.0"/>
      <color theme="1"/>
      <name val="Roboto"/>
    </font>
    <font>
      <sz val="11.0"/>
      <color theme="1"/>
      <name val="Roboto"/>
    </font>
    <font>
      <b/>
      <sz val="10.0"/>
      <color theme="1"/>
      <name val="Roboto"/>
    </font>
    <font>
      <sz val="10.0"/>
      <color theme="1"/>
      <name val="Roboto"/>
    </font>
    <font>
      <color rgb="FF000000"/>
      <name val="Arial"/>
      <scheme val="minor"/>
    </font>
    <font>
      <sz val="11.0"/>
      <color theme="1"/>
      <name val="Aptos Narrow"/>
    </font>
    <font>
      <strike/>
      <color theme="1"/>
      <name val="Arial"/>
      <scheme val="minor"/>
    </font>
    <font>
      <color rgb="FFFFFFFF"/>
      <name val="Roboto"/>
    </font>
    <font>
      <u/>
      <color theme="1"/>
      <name val="Arial"/>
      <scheme val="minor"/>
    </font>
    <font>
      <color theme="1"/>
      <name val="Arial"/>
    </font>
    <font>
      <sz val="12.0"/>
      <color theme="1"/>
      <name val="Arial"/>
    </font>
    <font>
      <b/>
      <sz val="16.0"/>
      <color theme="1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45B0E1"/>
        <bgColor rgb="FF45B0E1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747474"/>
        <bgColor rgb="FF747474"/>
      </patternFill>
    </fill>
    <fill>
      <patternFill patternType="solid">
        <fgColor rgb="FF783F04"/>
        <bgColor rgb="FF783F04"/>
      </patternFill>
    </fill>
    <fill>
      <patternFill patternType="solid">
        <fgColor rgb="FF9900FF"/>
        <bgColor rgb="FF9900FF"/>
      </patternFill>
    </fill>
    <fill>
      <patternFill patternType="solid">
        <fgColor rgb="FF47D45A"/>
        <bgColor rgb="FF47D45A"/>
      </patternFill>
    </fill>
    <fill>
      <patternFill patternType="solid">
        <fgColor rgb="FFFFE599"/>
        <bgColor rgb="FFFFE599"/>
      </patternFill>
    </fill>
    <fill>
      <patternFill patternType="solid">
        <fgColor rgb="FF49564C"/>
        <bgColor rgb="FF49564C"/>
      </patternFill>
    </fill>
    <fill>
      <patternFill patternType="solid">
        <fgColor rgb="FFD9D9D9"/>
        <bgColor rgb="FFD9D9D9"/>
      </patternFill>
    </fill>
    <fill>
      <patternFill patternType="solid">
        <fgColor rgb="FFD8B3A0"/>
        <bgColor rgb="FFD8B3A0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8179C7"/>
        <bgColor rgb="FF8179C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8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medium">
        <color rgb="FF000000"/>
      </right>
      <top style="thin">
        <color rgb="FFEFEFEF"/>
      </top>
      <bottom style="thin">
        <color rgb="FFEFEFEF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</border>
    <border>
      <left style="medium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D9D9D9"/>
      </right>
      <top style="thin">
        <color rgb="FFEFEFEF"/>
      </top>
    </border>
    <border>
      <right style="thin">
        <color rgb="FFEFEFEF"/>
      </right>
      <top style="thin">
        <color rgb="FFEFEFEF"/>
      </top>
    </border>
    <border>
      <right style="medium">
        <color rgb="FF000000"/>
      </right>
      <top style="thin">
        <color rgb="FFEFEFEF"/>
      </top>
      <bottom style="thin">
        <color rgb="FFEFEFEF"/>
      </bottom>
    </border>
    <border>
      <left style="medium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D9D9D9"/>
      </right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right style="medium">
        <color rgb="FF000000"/>
      </right>
      <bottom style="thin">
        <color rgb="FFF3F3F3"/>
      </bottom>
    </border>
    <border>
      <left style="medium">
        <color rgb="FF000000"/>
      </left>
      <right style="thin">
        <color rgb="FFF3F3F3"/>
      </right>
    </border>
    <border>
      <left style="thin">
        <color rgb="FFF3F3F3"/>
      </left>
      <right style="thin">
        <color rgb="FFF3F3F3"/>
      </right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D9D9D9"/>
      </right>
      <top style="thin">
        <color rgb="FFF3F3F3"/>
      </top>
      <bottom style="thin">
        <color rgb="FFF3F3F3"/>
      </bottom>
    </border>
    <border>
      <right style="medium">
        <color rgb="FF000000"/>
      </right>
      <top style="thin">
        <color rgb="FFF3F3F3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medium">
        <color rgb="FF000000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medium">
        <color rgb="FF000000"/>
      </left>
      <right style="thin">
        <color rgb="FFF3F3F3"/>
      </right>
      <top style="thin">
        <color rgb="FFF3F3F3"/>
      </top>
    </border>
    <border>
      <left style="thin">
        <color rgb="FFF3F3F3"/>
      </left>
      <right style="thin">
        <color rgb="FFF3F3F3"/>
      </right>
      <top style="thin">
        <color rgb="FFF3F3F3"/>
      </top>
    </border>
    <border>
      <left style="medium">
        <color rgb="FF000000"/>
      </left>
      <right style="thin">
        <color rgb="FFEFEFEF"/>
      </right>
      <top style="thin">
        <color rgb="FFEFEFEF"/>
      </top>
      <bottom style="medium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medium">
        <color rgb="FF000000"/>
      </bottom>
    </border>
    <border>
      <left style="thin">
        <color rgb="FFEFEFEF"/>
      </left>
      <right style="medium">
        <color rgb="FF000000"/>
      </right>
      <top style="thin">
        <color rgb="FFEFEFEF"/>
      </top>
      <bottom style="medium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666666"/>
      </left>
      <right style="medium">
        <color rgb="FF000000"/>
      </right>
      <top style="medium">
        <color rgb="FF666666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CCCCCC"/>
      </right>
      <top style="thin">
        <color rgb="FF000000"/>
      </top>
    </border>
    <border>
      <left style="medium">
        <color rgb="FFCCCCCC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EFEFEF"/>
      </bottom>
    </border>
    <border>
      <left style="medium">
        <color rgb="FF000000"/>
      </left>
      <right style="medium">
        <color rgb="FF000000"/>
      </right>
      <bottom style="thin">
        <color rgb="FFD9D9D9"/>
      </bottom>
    </border>
    <border>
      <left style="medium">
        <color rgb="FF666666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CCCCCC"/>
      </right>
    </border>
    <border>
      <left style="medium">
        <color rgb="FFCCCCCC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EFEFEF"/>
      </top>
      <bottom style="thin">
        <color rgb="FFEFEFEF"/>
      </bottom>
    </border>
    <border>
      <left style="medium">
        <color rgb="FF666666"/>
      </left>
      <right style="medium">
        <color rgb="FF000000"/>
      </right>
      <bottom style="medium">
        <color rgb="FF666666"/>
      </bottom>
    </border>
    <border>
      <right style="thin">
        <color rgb="FF000000"/>
      </right>
      <bottom style="thin">
        <color rgb="FF999999"/>
      </bottom>
    </border>
    <border>
      <bottom style="thin">
        <color rgb="FF999999"/>
      </bottom>
    </border>
    <border>
      <left style="thin">
        <color rgb="FF000000"/>
      </left>
      <bottom style="thin">
        <color rgb="FF999999"/>
      </bottom>
    </border>
    <border>
      <left style="thin">
        <color rgb="FF000000"/>
      </left>
      <right style="medium">
        <color rgb="FFCCCCCC"/>
      </right>
      <bottom style="thin">
        <color rgb="FF666666"/>
      </bottom>
    </border>
    <border>
      <left style="medium">
        <color rgb="FFCCCCCC"/>
      </left>
      <right style="thin">
        <color rgb="FF000000"/>
      </right>
      <bottom style="thin">
        <color rgb="FF666666"/>
      </bottom>
    </border>
    <border>
      <left style="medium">
        <color rgb="FF000000"/>
      </left>
      <right style="medium">
        <color rgb="FF000000"/>
      </right>
      <top style="thin">
        <color rgb="FFEFEFEF"/>
      </top>
    </border>
    <border>
      <left style="medium">
        <color rgb="FF000000"/>
      </left>
      <right style="medium">
        <color rgb="FF000000"/>
      </right>
    </border>
    <border>
      <right style="medium">
        <color rgb="FFCCCCCC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EFEFEF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D9D9D9"/>
      </bottom>
    </border>
    <border>
      <left style="medium">
        <color rgb="FF666666"/>
      </left>
      <top style="medium">
        <color rgb="FF666666"/>
      </top>
    </border>
    <border>
      <left style="medium">
        <color rgb="FF000000"/>
      </left>
      <top style="thin">
        <color rgb="FF000000"/>
      </top>
    </border>
    <border>
      <right style="medium">
        <color rgb="FFCCCCCC"/>
      </right>
      <top style="thin">
        <color rgb="FF000000"/>
      </top>
    </border>
    <border>
      <top style="thin">
        <color rgb="FF000000"/>
      </top>
    </border>
    <border>
      <left style="medium">
        <color rgb="FF666666"/>
      </lef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666666"/>
      </left>
      <bottom style="medium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CCCCCC"/>
      </right>
      <bottom style="thin">
        <color rgb="FF000000"/>
      </bottom>
    </border>
    <border>
      <left style="medium">
        <color rgb="FFCCCCCC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CCCCCC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EFEFEF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top style="medium">
        <color rgb="FF000000"/>
      </top>
      <bottom style="medium">
        <color rgb="FF000000"/>
      </bottom>
    </border>
    <border>
      <left style="thin">
        <color rgb="FFEFEFEF"/>
      </left>
      <right style="thin">
        <color rgb="FFCCCCCC"/>
      </right>
      <top style="thin">
        <color rgb="FFEFEFEF"/>
      </top>
      <bottom style="thin">
        <color rgb="FFEFEFEF"/>
      </bottom>
    </border>
    <border>
      <left style="thin">
        <color rgb="FFCCCCCC"/>
      </left>
      <right style="thin">
        <color rgb="FFD9D9D9"/>
      </right>
      <top style="thin">
        <color rgb="FFEFEFEF"/>
      </top>
      <bottom style="thin">
        <color rgb="FFEFEFEF"/>
      </bottom>
    </border>
    <border>
      <right style="thin">
        <color rgb="FFD9D9D9"/>
      </right>
      <bottom style="thin">
        <color rgb="FFF3F3F3"/>
      </bottom>
    </border>
    <border>
      <left style="medium">
        <color rgb="FF000000"/>
      </left>
      <right style="thin">
        <color rgb="FFF3F3F3"/>
      </right>
      <top style="thin">
        <color rgb="FFCCCCCC"/>
      </top>
    </border>
    <border>
      <top style="thin">
        <color rgb="FFCCCCCC"/>
      </top>
    </border>
    <border>
      <left style="medium">
        <color rgb="FF000000"/>
      </left>
      <right style="thin">
        <color rgb="FFF3F3F3"/>
      </right>
      <bottom style="thin">
        <color rgb="FFF3F3F3"/>
      </bottom>
    </border>
    <border>
      <bottom style="thin">
        <color rgb="FFF3F3F3"/>
      </bottom>
    </border>
    <border>
      <left style="thin">
        <color rgb="FFF3F3F3"/>
      </left>
      <right style="thin">
        <color rgb="FFD9D9D9"/>
      </right>
      <top style="thin">
        <color rgb="FFF3F3F3"/>
      </top>
    </border>
    <border>
      <right style="medium">
        <color rgb="FF000000"/>
      </right>
      <top style="thin">
        <color rgb="FFF3F3F3"/>
      </top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666666"/>
      </bottom>
    </border>
    <border>
      <right style="medium">
        <color rgb="FFCCCCCC"/>
      </right>
      <bottom style="thin">
        <color rgb="FF666666"/>
      </bottom>
    </border>
    <border>
      <right style="thin">
        <color rgb="FFD9D9D9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</border>
    <border>
      <left style="thin">
        <color rgb="FFEFEFEF"/>
      </left>
      <bottom style="thin">
        <color rgb="FFEFEFEF"/>
      </bottom>
    </border>
    <border>
      <left style="medium">
        <color rgb="FF000000"/>
      </left>
      <top style="thin">
        <color rgb="FFF3F3F3"/>
      </top>
    </border>
    <border>
      <right style="thin">
        <color rgb="FFD9D9D9"/>
      </right>
    </border>
    <border>
      <right style="thin">
        <color rgb="FFD9D9D9"/>
      </right>
      <top style="thin">
        <color rgb="FFF3F3F3"/>
      </top>
    </border>
    <border>
      <right style="thin">
        <color rgb="FFD9D9D9"/>
      </right>
      <top style="thin">
        <color rgb="FFF3F3F3"/>
      </top>
      <bottom style="thin">
        <color rgb="FFF3F3F3"/>
      </bottom>
    </border>
    <border>
      <left style="thin">
        <color rgb="FFD9D9D9"/>
      </left>
      <right style="thin">
        <color rgb="FFD9D9D9"/>
      </right>
    </border>
    <border>
      <right style="thin">
        <color rgb="FFCCCCCC"/>
      </right>
      <top style="thin">
        <color rgb="FFEFEFEF"/>
      </top>
      <bottom style="thin">
        <color rgb="FFEFEFEF"/>
      </bottom>
    </border>
    <border>
      <left style="thin">
        <color rgb="FFF3F3F3"/>
      </left>
      <right style="thin">
        <color rgb="FFD9D9D9"/>
      </right>
      <bottom style="thin">
        <color rgb="FFF3F3F3"/>
      </bottom>
    </border>
    <border>
      <right style="thin">
        <color rgb="FFD9D9D9"/>
      </right>
      <top style="thin">
        <color rgb="FFEFEFEF"/>
      </top>
    </border>
    <border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EFEFEF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EFEFEF"/>
      </left>
      <right style="thin">
        <color rgb="FFD9D9D9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D9D9D9"/>
      </right>
      <top style="thin">
        <color rgb="FFEFEFEF"/>
      </top>
      <bottom style="medium">
        <color rgb="FF000000"/>
      </bottom>
    </border>
    <border>
      <right style="thin">
        <color rgb="FFD9D9D9"/>
      </right>
      <top style="thin">
        <color rgb="FFEFEFEF"/>
      </top>
      <bottom style="medium">
        <color rgb="FF000000"/>
      </bottom>
    </border>
    <border>
      <right style="medium">
        <color rgb="FF000000"/>
      </right>
      <top style="thin">
        <color rgb="FFEFEFEF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EFEFEF"/>
      </right>
      <top style="medium">
        <color rgb="FF000000"/>
      </top>
      <bottom style="thin">
        <color rgb="FFEFEFEF"/>
      </bottom>
    </border>
    <border>
      <right style="medium">
        <color rgb="FF000000"/>
      </right>
      <top style="medium">
        <color rgb="FF000000"/>
      </top>
      <bottom style="thin">
        <color rgb="FFEFEFEF"/>
      </bottom>
    </border>
    <border>
      <left style="thin">
        <color rgb="FFF3F3F3"/>
      </left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</border>
    <border>
      <right style="medium">
        <color rgb="FF000000"/>
      </right>
      <top style="thin">
        <color rgb="FFEFEFEF"/>
      </top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</border>
    <border>
      <right style="thin">
        <color rgb="FF000000"/>
      </right>
      <bottom style="thin">
        <color rgb="FFD9D9D9"/>
      </bottom>
    </border>
    <border>
      <bottom style="thin">
        <color rgb="FFD9D9D9"/>
      </bottom>
    </border>
    <border>
      <left style="thin">
        <color rgb="FF000000"/>
      </left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999999"/>
      </bottom>
    </border>
    <border>
      <top style="thin">
        <color rgb="FFD9D9D9"/>
      </top>
      <bottom style="thin">
        <color rgb="FF999999"/>
      </bottom>
    </border>
    <border>
      <left style="thin">
        <color rgb="FF000000"/>
      </left>
      <top style="thin">
        <color rgb="FFD9D9D9"/>
      </top>
      <bottom style="thin">
        <color rgb="FF999999"/>
      </bottom>
    </border>
    <border>
      <right style="thin">
        <color rgb="FF000000"/>
      </right>
      <top style="thin">
        <color rgb="FFD9D9D9"/>
      </top>
      <bottom style="thin">
        <color rgb="FF000000"/>
      </bottom>
    </border>
    <border>
      <top style="thin">
        <color rgb="FFD9D9D9"/>
      </top>
      <bottom style="thin">
        <color rgb="FF000000"/>
      </bottom>
    </border>
    <border>
      <left style="thin">
        <color rgb="FF000000"/>
      </left>
      <top style="thin">
        <color rgb="FFD9D9D9"/>
      </top>
      <bottom style="thin">
        <color rgb="FF000000"/>
      </bottom>
    </border>
    <border>
      <left style="medium">
        <color rgb="FF000000"/>
      </left>
      <right style="thin">
        <color rgb="FFF3F3F3"/>
      </right>
      <top style="medium">
        <color rgb="FF000000"/>
      </top>
      <bottom style="thin">
        <color rgb="FFF3F3F3"/>
      </bottom>
    </border>
    <border>
      <left style="thin">
        <color rgb="FFF3F3F3"/>
      </lef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CCCCCC"/>
      </right>
      <bottom style="thin">
        <color rgb="FFCCCCCC"/>
      </bottom>
    </border>
    <border>
      <top style="thin">
        <color rgb="FFD9D9D9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CCCCCC"/>
      </left>
      <right style="thin">
        <color rgb="FFF3F3F3"/>
      </right>
      <top style="medium">
        <color rgb="FF000000"/>
      </top>
    </border>
    <border>
      <left style="thin">
        <color rgb="FFEFEFEF"/>
      </left>
      <right style="thin">
        <color rgb="FFCCCCCC"/>
      </right>
      <top style="medium">
        <color rgb="FF000000"/>
      </top>
      <bottom style="thin">
        <color rgb="FFEFEFEF"/>
      </bottom>
    </border>
    <border>
      <left style="thin">
        <color rgb="FFCCCCCC"/>
      </left>
      <right style="thin">
        <color rgb="FFD9D9D9"/>
      </right>
      <top style="medium">
        <color rgb="FF000000"/>
      </top>
      <bottom style="thin">
        <color rgb="FFEFEFEF"/>
      </bottom>
    </border>
    <border>
      <left style="medium">
        <color rgb="FF000000"/>
      </left>
      <bottom style="thin">
        <color rgb="FFF3F3F3"/>
      </bottom>
    </border>
    <border>
      <left style="thin">
        <color rgb="FFCCCCCC"/>
      </left>
      <right style="thin">
        <color rgb="FFF3F3F3"/>
      </right>
      <bottom style="thin">
        <color rgb="FFF3F3F3"/>
      </bottom>
    </border>
    <border>
      <left style="medium">
        <color rgb="FF000000"/>
      </left>
      <right style="thin">
        <color rgb="FFF3F3F3"/>
      </right>
      <top style="thin">
        <color rgb="FFF3F3F3"/>
      </top>
      <bottom style="thin">
        <color rgb="FFCCCCCC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CCCCCC"/>
      </bottom>
    </border>
    <border>
      <right style="thin">
        <color rgb="FFF3F3F3"/>
      </right>
      <top style="thin">
        <color rgb="FFCCCCCC"/>
      </top>
    </border>
    <border>
      <right style="thin">
        <color rgb="FFF3F3F3"/>
      </right>
      <bottom style="thin">
        <color rgb="FFF3F3F3"/>
      </bottom>
    </border>
    <border>
      <left style="medium">
        <color rgb="FF000000"/>
      </left>
      <top style="thin">
        <color rgb="FFCCCCCC"/>
      </top>
    </border>
    <border>
      <left style="thin">
        <color rgb="FFCCCCCC"/>
      </left>
      <right style="thin">
        <color rgb="FFF3F3F3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thin">
        <color rgb="FFCCCCCC"/>
      </left>
      <bottom style="thin">
        <color rgb="FFF3F3F3"/>
      </bottom>
    </border>
    <border>
      <left style="medium">
        <color rgb="FF000000"/>
      </left>
      <right style="thin">
        <color rgb="FFCCCCCC"/>
      </right>
      <top style="thin">
        <color rgb="FFCCCCCC"/>
      </top>
    </border>
    <border>
      <left style="medium">
        <color rgb="FF000000"/>
      </left>
      <right style="thin">
        <color rgb="FFCCCCCC"/>
      </right>
      <bottom style="medium">
        <color rgb="FF000000"/>
      </bottom>
    </border>
    <border>
      <left style="thin">
        <color rgb="FFCCCCCC"/>
      </left>
      <right style="thin">
        <color rgb="FFCCCCCC"/>
      </right>
      <bottom style="medium">
        <color rgb="FF000000"/>
      </bottom>
    </border>
    <border>
      <left style="thin">
        <color rgb="FFCCCCCC"/>
      </left>
      <bottom style="medium">
        <color rgb="FF000000"/>
      </bottom>
    </border>
    <border>
      <left style="thin">
        <color rgb="FFF3F3F3"/>
      </left>
      <right style="thin">
        <color rgb="FFD9D9D9"/>
      </right>
      <bottom style="medium">
        <color rgb="FF000000"/>
      </bottom>
    </border>
    <border>
      <left style="medium">
        <color rgb="FF000000"/>
      </left>
      <right style="thin">
        <color rgb="FFF3F3F3"/>
      </right>
      <top style="medium">
        <color rgb="FF000000"/>
      </top>
    </border>
    <border>
      <left style="thin">
        <color rgb="FFCCCCCC"/>
      </left>
      <right style="thin">
        <color rgb="FFCCCCCC"/>
      </right>
      <top style="medium">
        <color rgb="FF000000"/>
      </top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999999"/>
      </top>
      <bottom style="thin">
        <color rgb="FFCCCCCC"/>
      </bottom>
    </border>
    <border>
      <left style="thin">
        <color rgb="FFF3F3F3"/>
      </left>
      <right style="thin">
        <color rgb="FFF3F3F3"/>
      </right>
      <top style="thin">
        <color rgb="FFCCCCCC"/>
      </top>
      <bottom style="thin">
        <color rgb="FFF3F3F3"/>
      </bottom>
    </border>
    <border>
      <left style="thin">
        <color rgb="FFF3F3F3"/>
      </left>
      <right style="medium">
        <color rgb="FF000000"/>
      </right>
      <top style="thin">
        <color rgb="FFCCCCCC"/>
      </top>
      <bottom style="thin">
        <color rgb="FFF3F3F3"/>
      </bottom>
    </border>
    <border>
      <left style="thin">
        <color rgb="FFF3F3F3"/>
      </left>
      <right style="medium">
        <color rgb="FF000000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medium">
        <color rgb="FF000000"/>
      </right>
      <top style="thin">
        <color rgb="FFF3F3F3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999999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999999"/>
      </bottom>
    </border>
    <border>
      <left style="thin">
        <color rgb="FFF3F3F3"/>
      </left>
      <right style="thin">
        <color rgb="FFF3F3F3"/>
      </right>
      <bottom style="medium">
        <color rgb="FF000000"/>
      </bottom>
    </border>
    <border>
      <left style="thin">
        <color rgb="FFF3F3F3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2" fontId="3" numFmtId="49" xfId="0" applyAlignment="1" applyFill="1" applyFont="1" applyNumberFormat="1">
      <alignment horizontal="center" readingOrder="0"/>
    </xf>
    <xf borderId="1" fillId="3" fontId="4" numFmtId="0" xfId="0" applyAlignment="1" applyBorder="1" applyFill="1" applyFont="1">
      <alignment horizontal="center" readingOrder="0" vertical="center"/>
    </xf>
    <xf borderId="2" fillId="3" fontId="5" numFmtId="165" xfId="0" applyAlignment="1" applyBorder="1" applyFont="1" applyNumberFormat="1">
      <alignment horizontal="center" vertical="center"/>
    </xf>
    <xf borderId="3" fillId="0" fontId="6" numFmtId="0" xfId="0" applyBorder="1" applyFont="1"/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4" fillId="4" fontId="10" numFmtId="0" xfId="0" applyAlignment="1" applyBorder="1" applyFill="1" applyFont="1">
      <alignment horizontal="center" readingOrder="0" vertical="center"/>
    </xf>
    <xf borderId="5" fillId="0" fontId="6" numFmtId="0" xfId="0" applyBorder="1" applyFont="1"/>
    <xf borderId="6" fillId="0" fontId="6" numFmtId="0" xfId="0" applyBorder="1" applyFont="1"/>
    <xf borderId="0" fillId="0" fontId="1" numFmtId="0" xfId="0" applyAlignment="1" applyFont="1">
      <alignment horizontal="right" readingOrder="0"/>
    </xf>
    <xf borderId="7" fillId="0" fontId="11" numFmtId="0" xfId="0" applyAlignment="1" applyBorder="1" applyFont="1">
      <alignment horizontal="right" readingOrder="0" vertical="center"/>
    </xf>
    <xf borderId="7" fillId="5" fontId="12" numFmtId="0" xfId="0" applyAlignment="1" applyBorder="1" applyFill="1" applyFont="1">
      <alignment horizontal="center" readingOrder="0" vertical="center"/>
    </xf>
    <xf borderId="8" fillId="0" fontId="1" numFmtId="49" xfId="0" applyAlignment="1" applyBorder="1" applyFont="1" applyNumberForma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9" fillId="6" fontId="7" numFmtId="0" xfId="0" applyAlignment="1" applyBorder="1" applyFill="1" applyFont="1">
      <alignment horizontal="center" readingOrder="0" vertical="center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6" numFmtId="0" xfId="0" applyBorder="1" applyFont="1"/>
    <xf borderId="14" fillId="0" fontId="6" numFmtId="0" xfId="0" applyBorder="1" applyFont="1"/>
    <xf borderId="7" fillId="7" fontId="11" numFmtId="0" xfId="0" applyAlignment="1" applyBorder="1" applyFill="1" applyFont="1">
      <alignment horizontal="right" readingOrder="0" vertical="center"/>
    </xf>
    <xf borderId="7" fillId="8" fontId="12" numFmtId="0" xfId="0" applyAlignment="1" applyBorder="1" applyFill="1" applyFont="1">
      <alignment horizontal="center" readingOrder="0" vertical="center"/>
    </xf>
    <xf borderId="15" fillId="7" fontId="11" numFmtId="0" xfId="0" applyAlignment="1" applyBorder="1" applyFont="1">
      <alignment horizontal="right" readingOrder="0" vertical="center"/>
    </xf>
    <xf borderId="16" fillId="5" fontId="12" numFmtId="0" xfId="0" applyAlignment="1" applyBorder="1" applyFont="1">
      <alignment horizontal="center" readingOrder="0" vertical="center"/>
    </xf>
    <xf borderId="17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8" fillId="0" fontId="7" numFmtId="0" xfId="0" applyAlignment="1" applyBorder="1" applyFont="1">
      <alignment horizontal="center" readingOrder="0" vertical="center"/>
    </xf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11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Border="1" applyFont="1"/>
    <xf borderId="24" fillId="0" fontId="1" numFmtId="0" xfId="0" applyBorder="1" applyFont="1"/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vertical="center"/>
    </xf>
    <xf borderId="17" fillId="5" fontId="12" numFmtId="0" xfId="0" applyAlignment="1" applyBorder="1" applyFont="1">
      <alignment horizontal="center" readingOrder="0" vertical="center"/>
    </xf>
    <xf borderId="28" fillId="0" fontId="7" numFmtId="0" xfId="0" applyAlignment="1" applyBorder="1" applyFont="1">
      <alignment horizontal="center" readingOrder="0" vertical="center"/>
    </xf>
    <xf borderId="29" fillId="0" fontId="6" numFmtId="0" xfId="0" applyBorder="1" applyFont="1"/>
    <xf borderId="28" fillId="5" fontId="12" numFmtId="0" xfId="0" applyAlignment="1" applyBorder="1" applyFont="1">
      <alignment horizontal="center" readingOrder="0" vertical="center"/>
    </xf>
    <xf borderId="11" fillId="6" fontId="7" numFmtId="0" xfId="0" applyAlignment="1" applyBorder="1" applyFont="1">
      <alignment horizontal="center" readingOrder="0" vertical="center"/>
    </xf>
    <xf borderId="18" fillId="6" fontId="7" numFmtId="0" xfId="0" applyAlignment="1" applyBorder="1" applyFont="1">
      <alignment horizontal="center" readingOrder="0" vertical="center"/>
    </xf>
    <xf borderId="30" fillId="0" fontId="1" numFmtId="0" xfId="0" applyBorder="1" applyFont="1"/>
    <xf borderId="25" fillId="0" fontId="1" numFmtId="0" xfId="0" applyBorder="1" applyFont="1"/>
    <xf borderId="26" fillId="0" fontId="1" numFmtId="0" xfId="0" applyAlignment="1" applyBorder="1" applyFont="1">
      <alignment horizontal="center" vertical="center"/>
    </xf>
    <xf borderId="31" fillId="0" fontId="1" numFmtId="0" xfId="0" applyBorder="1" applyFont="1"/>
    <xf borderId="32" fillId="0" fontId="1" numFmtId="0" xfId="0" applyBorder="1" applyFont="1"/>
    <xf borderId="32" fillId="0" fontId="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right" readingOrder="0" vertical="center"/>
    </xf>
    <xf borderId="14" fillId="0" fontId="12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right" readingOrder="0" vertical="center"/>
    </xf>
    <xf borderId="13" fillId="0" fontId="12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 vertical="center"/>
    </xf>
    <xf borderId="33" fillId="0" fontId="1" numFmtId="0" xfId="0" applyBorder="1" applyFont="1"/>
    <xf borderId="34" fillId="0" fontId="1" numFmtId="0" xfId="0" applyBorder="1" applyFont="1"/>
    <xf borderId="35" fillId="0" fontId="1" numFmtId="0" xfId="0" applyBorder="1" applyFont="1"/>
    <xf borderId="9" fillId="0" fontId="13" numFmtId="0" xfId="0" applyBorder="1" applyFont="1"/>
    <xf borderId="36" fillId="0" fontId="13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37" fillId="0" fontId="2" numFmtId="0" xfId="0" applyAlignment="1" applyBorder="1" applyFont="1">
      <alignment horizontal="center" readingOrder="0" shrinkToFit="0" vertical="center" wrapText="1"/>
    </xf>
    <xf borderId="38" fillId="0" fontId="2" numFmtId="0" xfId="0" applyAlignment="1" applyBorder="1" applyFont="1">
      <alignment horizontal="center" readingOrder="0" shrinkToFit="0" vertical="center" wrapText="1"/>
    </xf>
    <xf borderId="39" fillId="7" fontId="14" numFmtId="0" xfId="0" applyAlignment="1" applyBorder="1" applyFont="1">
      <alignment horizontal="center" readingOrder="0" vertical="center"/>
    </xf>
    <xf borderId="40" fillId="7" fontId="15" numFmtId="0" xfId="0" applyAlignment="1" applyBorder="1" applyFont="1">
      <alignment horizontal="center" readingOrder="0" textRotation="90" vertical="center"/>
    </xf>
    <xf borderId="41" fillId="5" fontId="12" numFmtId="0" xfId="0" applyAlignment="1" applyBorder="1" applyFont="1">
      <alignment horizontal="center" readingOrder="0" shrinkToFit="0" vertical="center" wrapText="0"/>
    </xf>
    <xf borderId="42" fillId="5" fontId="1" numFmtId="0" xfId="0" applyAlignment="1" applyBorder="1" applyFont="1">
      <alignment horizontal="center" readingOrder="0" shrinkToFit="0" vertical="center" wrapText="0"/>
    </xf>
    <xf borderId="43" fillId="5" fontId="2" numFmtId="166" xfId="0" applyAlignment="1" applyBorder="1" applyFont="1" applyNumberFormat="1">
      <alignment readingOrder="0" shrinkToFit="0" vertical="center" wrapText="0"/>
    </xf>
    <xf borderId="44" fillId="5" fontId="13" numFmtId="0" xfId="0" applyAlignment="1" applyBorder="1" applyFont="1">
      <alignment horizontal="center" vertical="center"/>
    </xf>
    <xf borderId="45" fillId="5" fontId="2" numFmtId="166" xfId="0" applyAlignment="1" applyBorder="1" applyFont="1" applyNumberFormat="1">
      <alignment horizontal="center" vertical="center"/>
    </xf>
    <xf borderId="46" fillId="0" fontId="16" numFmtId="0" xfId="0" applyAlignment="1" applyBorder="1" applyFont="1">
      <alignment horizontal="center" readingOrder="0" vertical="center"/>
    </xf>
    <xf borderId="47" fillId="0" fontId="17" numFmtId="166" xfId="0" applyAlignment="1" applyBorder="1" applyFont="1" applyNumberFormat="1">
      <alignment horizontal="center" vertical="center"/>
    </xf>
    <xf borderId="48" fillId="0" fontId="6" numFmtId="0" xfId="0" applyBorder="1" applyFont="1"/>
    <xf borderId="49" fillId="5" fontId="12" numFmtId="0" xfId="0" applyAlignment="1" applyBorder="1" applyFont="1">
      <alignment horizontal="center" readingOrder="0" shrinkToFit="0" vertical="center" wrapText="0"/>
    </xf>
    <xf borderId="50" fillId="5" fontId="1" numFmtId="0" xfId="0" applyAlignment="1" applyBorder="1" applyFont="1">
      <alignment horizontal="center" readingOrder="0" shrinkToFit="0" vertical="center" wrapText="0"/>
    </xf>
    <xf borderId="51" fillId="5" fontId="2" numFmtId="166" xfId="0" applyAlignment="1" applyBorder="1" applyFont="1" applyNumberFormat="1">
      <alignment readingOrder="0" shrinkToFit="0" vertical="center" wrapText="0"/>
    </xf>
    <xf borderId="52" fillId="0" fontId="6" numFmtId="0" xfId="0" applyBorder="1" applyFont="1"/>
    <xf borderId="53" fillId="0" fontId="6" numFmtId="0" xfId="0" applyBorder="1" applyFont="1"/>
    <xf borderId="54" fillId="0" fontId="16" numFmtId="0" xfId="0" applyAlignment="1" applyBorder="1" applyFont="1">
      <alignment horizontal="center" readingOrder="0" vertical="center"/>
    </xf>
    <xf borderId="51" fillId="5" fontId="2" numFmtId="166" xfId="0" applyAlignment="1" applyBorder="1" applyFont="1" applyNumberFormat="1">
      <alignment shrinkToFit="0" vertical="center" wrapText="0"/>
    </xf>
    <xf borderId="49" fillId="9" fontId="12" numFmtId="0" xfId="0" applyAlignment="1" applyBorder="1" applyFill="1" applyFont="1">
      <alignment horizontal="center" readingOrder="0" shrinkToFit="0" vertical="center" wrapText="0"/>
    </xf>
    <xf borderId="0" fillId="9" fontId="1" numFmtId="0" xfId="0" applyAlignment="1" applyFont="1">
      <alignment horizontal="center" readingOrder="0" shrinkToFit="0" vertical="center" wrapText="0"/>
    </xf>
    <xf borderId="50" fillId="9" fontId="2" numFmtId="166" xfId="0" applyAlignment="1" applyBorder="1" applyFont="1" applyNumberFormat="1">
      <alignment shrinkToFit="0" vertical="center" wrapText="0"/>
    </xf>
    <xf borderId="50" fillId="9" fontId="1" numFmtId="0" xfId="0" applyAlignment="1" applyBorder="1" applyFont="1">
      <alignment horizontal="center" readingOrder="0" shrinkToFit="0" vertical="center" wrapText="0"/>
    </xf>
    <xf borderId="51" fillId="9" fontId="2" numFmtId="166" xfId="0" applyAlignment="1" applyBorder="1" applyFont="1" applyNumberFormat="1">
      <alignment shrinkToFit="0" vertical="center" wrapText="0"/>
    </xf>
    <xf borderId="54" fillId="9" fontId="16" numFmtId="0" xfId="0" applyAlignment="1" applyBorder="1" applyFont="1">
      <alignment horizontal="center" readingOrder="0" vertical="center"/>
    </xf>
    <xf borderId="55" fillId="0" fontId="6" numFmtId="0" xfId="0" applyBorder="1" applyFont="1"/>
    <xf borderId="56" fillId="9" fontId="12" numFmtId="0" xfId="0" applyAlignment="1" applyBorder="1" applyFont="1">
      <alignment horizontal="center" readingOrder="0" shrinkToFit="0" vertical="center" wrapText="0"/>
    </xf>
    <xf borderId="57" fillId="9" fontId="1" numFmtId="0" xfId="0" applyAlignment="1" applyBorder="1" applyFont="1">
      <alignment horizontal="center" readingOrder="0" shrinkToFit="0" vertical="center" wrapText="0"/>
    </xf>
    <xf borderId="58" fillId="9" fontId="2" numFmtId="166" xfId="0" applyAlignment="1" applyBorder="1" applyFont="1" applyNumberFormat="1">
      <alignment shrinkToFit="0" vertical="center" wrapText="0"/>
    </xf>
    <xf borderId="59" fillId="0" fontId="6" numFmtId="0" xfId="0" applyBorder="1" applyFont="1"/>
    <xf borderId="60" fillId="0" fontId="6" numFmtId="0" xfId="0" applyBorder="1" applyFont="1"/>
    <xf borderId="61" fillId="9" fontId="16" numFmtId="0" xfId="0" applyAlignment="1" applyBorder="1" applyFont="1">
      <alignment horizontal="center" readingOrder="0" vertical="center"/>
    </xf>
    <xf borderId="62" fillId="0" fontId="17" numFmtId="166" xfId="0" applyAlignment="1" applyBorder="1" applyFont="1" applyNumberFormat="1">
      <alignment horizontal="center" vertical="center"/>
    </xf>
    <xf borderId="49" fillId="0" fontId="1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50" fillId="0" fontId="2" numFmtId="166" xfId="0" applyAlignment="1" applyBorder="1" applyFont="1" applyNumberFormat="1">
      <alignment shrinkToFit="0" vertical="center" wrapText="0"/>
    </xf>
    <xf borderId="63" fillId="0" fontId="13" numFmtId="0" xfId="0" applyAlignment="1" applyBorder="1" applyFont="1">
      <alignment horizontal="center" vertical="center"/>
    </xf>
    <xf borderId="53" fillId="0" fontId="2" numFmtId="166" xfId="0" applyAlignment="1" applyBorder="1" applyFont="1" applyNumberFormat="1">
      <alignment horizontal="center" vertical="center"/>
    </xf>
    <xf borderId="64" fillId="0" fontId="16" numFmtId="0" xfId="0" applyAlignment="1" applyBorder="1" applyFont="1">
      <alignment horizontal="center" readingOrder="0" vertical="center"/>
    </xf>
    <xf borderId="65" fillId="0" fontId="17" numFmtId="166" xfId="0" applyAlignment="1" applyBorder="1" applyFont="1" applyNumberFormat="1">
      <alignment horizontal="center" vertical="center"/>
    </xf>
    <xf borderId="63" fillId="0" fontId="6" numFmtId="0" xfId="0" applyBorder="1" applyFont="1"/>
    <xf borderId="0" fillId="0" fontId="1" numFmtId="0" xfId="0" applyAlignment="1" applyFont="1">
      <alignment horizontal="center" readingOrder="0" shrinkToFit="0" vertical="center" wrapText="0"/>
    </xf>
    <xf borderId="50" fillId="0" fontId="2" numFmtId="166" xfId="0" applyAlignment="1" applyBorder="1" applyFont="1" applyNumberFormat="1">
      <alignment shrinkToFit="0" vertical="center" wrapText="0"/>
    </xf>
    <xf borderId="66" fillId="7" fontId="15" numFmtId="0" xfId="0" applyAlignment="1" applyBorder="1" applyFont="1">
      <alignment horizontal="center" readingOrder="0" textRotation="90" vertical="center"/>
    </xf>
    <xf borderId="67" fillId="10" fontId="12" numFmtId="0" xfId="0" applyAlignment="1" applyBorder="1" applyFill="1" applyFont="1">
      <alignment horizontal="center" readingOrder="0" shrinkToFit="0" vertical="center" wrapText="0"/>
    </xf>
    <xf borderId="42" fillId="10" fontId="1" numFmtId="0" xfId="0" applyAlignment="1" applyBorder="1" applyFont="1">
      <alignment horizontal="center" readingOrder="0" shrinkToFit="0" vertical="center" wrapText="0"/>
    </xf>
    <xf borderId="43" fillId="10" fontId="2" numFmtId="166" xfId="0" applyAlignment="1" applyBorder="1" applyFont="1" applyNumberFormat="1">
      <alignment shrinkToFit="0" vertical="center" wrapText="0"/>
    </xf>
    <xf borderId="68" fillId="5" fontId="13" numFmtId="0" xfId="0" applyAlignment="1" applyBorder="1" applyFont="1">
      <alignment horizontal="center" vertical="center"/>
    </xf>
    <xf borderId="41" fillId="10" fontId="12" numFmtId="0" xfId="0" applyAlignment="1" applyBorder="1" applyFont="1">
      <alignment horizontal="center" readingOrder="0" shrinkToFit="0" vertical="center" wrapText="0"/>
    </xf>
    <xf borderId="69" fillId="10" fontId="1" numFmtId="0" xfId="0" applyAlignment="1" applyBorder="1" applyFont="1">
      <alignment horizontal="center" readingOrder="0" shrinkToFit="0" vertical="center" wrapText="0"/>
    </xf>
    <xf borderId="70" fillId="0" fontId="6" numFmtId="0" xfId="0" applyBorder="1" applyFont="1"/>
    <xf borderId="71" fillId="10" fontId="12" numFmtId="0" xfId="0" applyAlignment="1" applyBorder="1" applyFont="1">
      <alignment horizontal="center" readingOrder="0" shrinkToFit="0" vertical="center" wrapText="0"/>
    </xf>
    <xf borderId="50" fillId="10" fontId="1" numFmtId="0" xfId="0" applyAlignment="1" applyBorder="1" applyFont="1">
      <alignment horizontal="center" readingOrder="0" shrinkToFit="0" vertical="center" wrapText="0"/>
    </xf>
    <xf borderId="51" fillId="10" fontId="2" numFmtId="166" xfId="0" applyAlignment="1" applyBorder="1" applyFont="1" applyNumberFormat="1">
      <alignment shrinkToFit="0" vertical="center" wrapText="0"/>
    </xf>
    <xf borderId="49" fillId="10" fontId="12" numFmtId="0" xfId="0" applyAlignment="1" applyBorder="1" applyFont="1">
      <alignment horizontal="center" readingOrder="0" shrinkToFit="0" vertical="center" wrapText="0"/>
    </xf>
    <xf borderId="0" fillId="10" fontId="1" numFmtId="0" xfId="0" applyAlignment="1" applyFont="1">
      <alignment horizontal="center" readingOrder="0" shrinkToFit="0" vertical="center" wrapText="0"/>
    </xf>
    <xf borderId="71" fillId="9" fontId="12" numFmtId="0" xfId="0" applyAlignment="1" applyBorder="1" applyFont="1">
      <alignment horizontal="center" readingOrder="0" shrinkToFit="0" vertical="center" wrapText="0"/>
    </xf>
    <xf borderId="72" fillId="9" fontId="12" numFmtId="0" xfId="0" applyAlignment="1" applyBorder="1" applyFont="1">
      <alignment horizontal="center" readingOrder="0" shrinkToFit="0" vertical="center" wrapText="0"/>
    </xf>
    <xf borderId="73" fillId="0" fontId="6" numFmtId="0" xfId="0" applyBorder="1" applyFont="1"/>
    <xf borderId="74" fillId="9" fontId="2" numFmtId="166" xfId="0" applyAlignment="1" applyBorder="1" applyFont="1" applyNumberFormat="1">
      <alignment shrinkToFit="0" vertical="center" wrapText="0"/>
    </xf>
    <xf borderId="75" fillId="0" fontId="6" numFmtId="0" xfId="0" applyBorder="1" applyFont="1"/>
    <xf borderId="76" fillId="0" fontId="6" numFmtId="0" xfId="0" applyBorder="1" applyFont="1"/>
    <xf borderId="77" fillId="9" fontId="1" numFmtId="0" xfId="0" applyAlignment="1" applyBorder="1" applyFont="1">
      <alignment horizontal="center" readingOrder="0" shrinkToFit="0" vertical="center" wrapText="0"/>
    </xf>
    <xf borderId="78" fillId="9" fontId="2" numFmtId="166" xfId="0" applyAlignment="1" applyBorder="1" applyFont="1" applyNumberFormat="1">
      <alignment shrinkToFit="0" vertical="center" wrapText="0"/>
    </xf>
    <xf borderId="79" fillId="0" fontId="6" numFmtId="0" xfId="0" applyBorder="1" applyFont="1"/>
    <xf borderId="80" fillId="9" fontId="16" numFmtId="0" xfId="0" applyAlignment="1" applyBorder="1" applyFont="1">
      <alignment horizontal="center" readingOrder="0" vertical="center"/>
    </xf>
    <xf borderId="81" fillId="0" fontId="1" numFmtId="166" xfId="0" applyAlignment="1" applyBorder="1" applyFont="1" applyNumberFormat="1">
      <alignment horizontal="center" vertical="center"/>
    </xf>
    <xf borderId="0" fillId="0" fontId="16" numFmtId="0" xfId="0" applyFont="1"/>
    <xf borderId="82" fillId="5" fontId="18" numFmtId="166" xfId="0" applyAlignment="1" applyBorder="1" applyFont="1" applyNumberFormat="1">
      <alignment horizontal="center" vertical="center"/>
    </xf>
    <xf borderId="83" fillId="0" fontId="6" numFmtId="0" xfId="0" applyBorder="1" applyFont="1"/>
    <xf borderId="0" fillId="0" fontId="19" numFmtId="0" xfId="0" applyAlignment="1" applyFont="1">
      <alignment horizontal="center" readingOrder="0" shrinkToFit="0" vertical="center" wrapText="1"/>
    </xf>
    <xf borderId="8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11" fontId="2" numFmtId="0" xfId="0" applyAlignment="1" applyFill="1" applyFont="1">
      <alignment horizontal="center"/>
    </xf>
    <xf borderId="66" fillId="9" fontId="15" numFmtId="0" xfId="0" applyAlignment="1" applyBorder="1" applyFont="1">
      <alignment horizontal="center" readingOrder="0" textRotation="90" vertical="center"/>
    </xf>
    <xf borderId="43" fillId="9" fontId="12" numFmtId="0" xfId="0" applyAlignment="1" applyBorder="1" applyFont="1">
      <alignment horizontal="center" readingOrder="0" shrinkToFit="0" vertical="center" wrapText="0"/>
    </xf>
    <xf borderId="42" fillId="9" fontId="1" numFmtId="0" xfId="0" applyAlignment="1" applyBorder="1" applyFont="1">
      <alignment horizontal="center" readingOrder="0" shrinkToFit="0" vertical="center" wrapText="0"/>
    </xf>
    <xf borderId="43" fillId="9" fontId="2" numFmtId="166" xfId="0" applyAlignment="1" applyBorder="1" applyFont="1" applyNumberFormat="1">
      <alignment readingOrder="0" shrinkToFit="0" vertical="center" wrapText="0"/>
    </xf>
    <xf borderId="43" fillId="9" fontId="2" numFmtId="166" xfId="0" applyAlignment="1" applyBorder="1" applyFont="1" applyNumberFormat="1">
      <alignment horizontal="center" vertical="center"/>
    </xf>
    <xf borderId="85" fillId="10" fontId="2" numFmtId="0" xfId="0" applyAlignment="1" applyBorder="1" applyFont="1">
      <alignment horizontal="center" readingOrder="0" shrinkToFit="0" vertical="center" wrapText="0"/>
    </xf>
    <xf borderId="6" fillId="10" fontId="1" numFmtId="167" xfId="0" applyAlignment="1" applyBorder="1" applyFont="1" applyNumberFormat="1">
      <alignment readingOrder="0" shrinkToFit="0" vertical="center" wrapText="0"/>
    </xf>
    <xf borderId="84" fillId="12" fontId="20" numFmtId="0" xfId="0" applyAlignment="1" applyBorder="1" applyFill="1" applyFont="1">
      <alignment horizontal="center" vertical="center"/>
    </xf>
    <xf borderId="86" fillId="11" fontId="11" numFmtId="0" xfId="0" applyAlignment="1" applyBorder="1" applyFont="1">
      <alignment horizontal="left" readingOrder="0" vertical="center"/>
    </xf>
    <xf borderId="38" fillId="11" fontId="1" numFmtId="0" xfId="0" applyAlignment="1" applyBorder="1" applyFont="1">
      <alignment horizontal="left" readingOrder="0" vertical="center"/>
    </xf>
    <xf borderId="51" fillId="9" fontId="12" numFmtId="0" xfId="0" applyAlignment="1" applyBorder="1" applyFont="1">
      <alignment horizontal="center" readingOrder="0" shrinkToFit="0" vertical="center" wrapText="0"/>
    </xf>
    <xf borderId="51" fillId="9" fontId="2" numFmtId="166" xfId="0" applyAlignment="1" applyBorder="1" applyFont="1" applyNumberFormat="1">
      <alignment readingOrder="0" shrinkToFit="0" vertical="center" wrapText="0"/>
    </xf>
    <xf borderId="51" fillId="0" fontId="6" numFmtId="0" xfId="0" applyBorder="1" applyFont="1"/>
    <xf borderId="72" fillId="10" fontId="2" numFmtId="0" xfId="0" applyAlignment="1" applyBorder="1" applyFont="1">
      <alignment horizontal="center" readingOrder="0" shrinkToFit="0" vertical="center" wrapText="0"/>
    </xf>
    <xf borderId="87" fillId="10" fontId="1" numFmtId="167" xfId="0" applyAlignment="1" applyBorder="1" applyFont="1" applyNumberFormat="1">
      <alignment readingOrder="0" shrinkToFit="0" vertical="center" wrapText="0"/>
    </xf>
    <xf borderId="84" fillId="8" fontId="20" numFmtId="0" xfId="0" applyAlignment="1" applyBorder="1" applyFont="1">
      <alignment horizontal="center" vertical="center"/>
    </xf>
    <xf borderId="86" fillId="11" fontId="11" numFmtId="0" xfId="0" applyAlignment="1" applyBorder="1" applyFont="1">
      <alignment horizontal="left" vertical="center"/>
    </xf>
    <xf borderId="38" fillId="11" fontId="1" numFmtId="0" xfId="0" applyAlignment="1" applyBorder="1" applyFont="1">
      <alignment horizontal="left" vertical="center"/>
    </xf>
    <xf borderId="74" fillId="9" fontId="12" numFmtId="0" xfId="0" applyAlignment="1" applyBorder="1" applyFont="1">
      <alignment horizontal="center" readingOrder="0" shrinkToFit="0" vertical="center" wrapText="0"/>
    </xf>
    <xf borderId="78" fillId="9" fontId="1" numFmtId="0" xfId="0" applyAlignment="1" applyBorder="1" applyFont="1">
      <alignment horizontal="center" readingOrder="0" shrinkToFit="0" vertical="center" wrapText="0"/>
    </xf>
    <xf borderId="74" fillId="9" fontId="2" numFmtId="166" xfId="0" applyAlignment="1" applyBorder="1" applyFont="1" applyNumberFormat="1">
      <alignment readingOrder="0" shrinkToFit="0" vertical="center" wrapText="0"/>
    </xf>
    <xf borderId="74" fillId="0" fontId="6" numFmtId="0" xfId="0" applyBorder="1" applyFont="1"/>
    <xf borderId="84" fillId="13" fontId="1" numFmtId="0" xfId="0" applyAlignment="1" applyBorder="1" applyFill="1" applyFont="1">
      <alignment horizontal="center" vertical="center"/>
    </xf>
    <xf borderId="43" fillId="9" fontId="1" numFmtId="166" xfId="0" applyAlignment="1" applyBorder="1" applyFont="1" applyNumberFormat="1">
      <alignment horizontal="center"/>
    </xf>
    <xf borderId="88" fillId="10" fontId="2" numFmtId="0" xfId="0" applyAlignment="1" applyBorder="1" applyFont="1">
      <alignment horizontal="center" readingOrder="0" shrinkToFit="0" vertical="center" wrapText="0"/>
    </xf>
    <xf borderId="89" fillId="10" fontId="1" numFmtId="167" xfId="0" applyAlignment="1" applyBorder="1" applyFont="1" applyNumberFormat="1">
      <alignment readingOrder="0" shrinkToFit="0" vertical="center" wrapText="0"/>
    </xf>
    <xf borderId="84" fillId="14" fontId="1" numFmtId="0" xfId="0" applyAlignment="1" applyBorder="1" applyFill="1" applyFont="1">
      <alignment horizontal="center" vertical="center"/>
    </xf>
    <xf borderId="84" fillId="15" fontId="2" numFmtId="0" xfId="0" applyAlignment="1" applyBorder="1" applyFill="1" applyFont="1">
      <alignment horizontal="center" vertical="center"/>
    </xf>
    <xf borderId="84" fillId="16" fontId="1" numFmtId="0" xfId="0" applyAlignment="1" applyBorder="1" applyFill="1" applyFont="1">
      <alignment horizontal="center" readingOrder="0" vertical="center"/>
    </xf>
    <xf borderId="84" fillId="0" fontId="1" numFmtId="0" xfId="0" applyAlignment="1" applyBorder="1" applyFont="1">
      <alignment horizontal="center" readingOrder="0" vertical="center"/>
    </xf>
    <xf borderId="84" fillId="0" fontId="1" numFmtId="0" xfId="0" applyAlignment="1" applyBorder="1" applyFont="1">
      <alignment horizontal="center" vertical="center"/>
    </xf>
    <xf borderId="84" fillId="0" fontId="21" numFmtId="0" xfId="0" applyAlignment="1" applyBorder="1" applyFont="1">
      <alignment horizontal="center" vertical="center"/>
    </xf>
    <xf borderId="84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1"/>
    </xf>
    <xf borderId="90" fillId="17" fontId="22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10" fontId="1" numFmtId="0" xfId="0" applyAlignment="1" applyFont="1">
      <alignment horizontal="center" readingOrder="0" shrinkToFit="0" wrapText="1"/>
    </xf>
    <xf borderId="0" fillId="18" fontId="2" numFmtId="168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91" fillId="0" fontId="11" numFmtId="0" xfId="0" applyAlignment="1" applyBorder="1" applyFont="1">
      <alignment horizontal="right" readingOrder="0" vertical="center"/>
    </xf>
    <xf borderId="91" fillId="5" fontId="12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92" fillId="0" fontId="1" numFmtId="0" xfId="0" applyBorder="1" applyFont="1"/>
    <xf borderId="71" fillId="7" fontId="24" numFmtId="0" xfId="0" applyAlignment="1" applyBorder="1" applyFont="1">
      <alignment horizontal="right" vertical="center"/>
    </xf>
    <xf borderId="0" fillId="5" fontId="5" numFmtId="0" xfId="0" applyAlignment="1" applyFont="1">
      <alignment horizontal="center" readingOrder="0" vertical="center"/>
    </xf>
    <xf borderId="0" fillId="0" fontId="25" numFmtId="0" xfId="0" applyAlignment="1" applyFont="1">
      <alignment horizontal="center" vertical="center"/>
    </xf>
    <xf borderId="93" fillId="0" fontId="7" numFmtId="0" xfId="0" applyAlignment="1" applyBorder="1" applyFont="1">
      <alignment horizontal="center" readingOrder="0" vertical="center"/>
    </xf>
    <xf borderId="94" fillId="0" fontId="7" numFmtId="0" xfId="0" applyAlignment="1" applyBorder="1" applyFont="1">
      <alignment horizontal="center" readingOrder="0" vertical="center"/>
    </xf>
    <xf borderId="71" fillId="0" fontId="6" numFmtId="0" xfId="0" applyBorder="1" applyFont="1"/>
    <xf borderId="95" fillId="0" fontId="1" numFmtId="0" xfId="0" applyAlignment="1" applyBorder="1" applyFont="1">
      <alignment horizontal="center" readingOrder="0" vertical="center"/>
    </xf>
    <xf borderId="96" fillId="7" fontId="24" numFmtId="0" xfId="0" applyAlignment="1" applyBorder="1" applyFont="1">
      <alignment horizontal="right" vertical="center"/>
    </xf>
    <xf borderId="97" fillId="5" fontId="5" numFmtId="0" xfId="0" applyAlignment="1" applyBorder="1" applyFont="1">
      <alignment horizontal="center" vertical="center"/>
    </xf>
    <xf borderId="28" fillId="0" fontId="25" numFmtId="0" xfId="0" applyAlignment="1" applyBorder="1" applyFont="1">
      <alignment horizontal="center" vertical="center"/>
    </xf>
    <xf borderId="94" fillId="0" fontId="24" numFmtId="0" xfId="0" applyAlignment="1" applyBorder="1" applyFont="1">
      <alignment horizontal="center" vertical="center"/>
    </xf>
    <xf borderId="18" fillId="0" fontId="24" numFmtId="0" xfId="0" applyAlignment="1" applyBorder="1" applyFont="1">
      <alignment horizontal="center" vertical="center"/>
    </xf>
    <xf borderId="98" fillId="0" fontId="6" numFmtId="0" xfId="0" applyBorder="1" applyFont="1"/>
    <xf borderId="99" fillId="0" fontId="6" numFmtId="0" xfId="0" applyBorder="1" applyFont="1"/>
    <xf borderId="11" fillId="0" fontId="24" numFmtId="0" xfId="0" applyAlignment="1" applyBorder="1" applyFont="1">
      <alignment horizontal="center" vertical="center"/>
    </xf>
    <xf borderId="95" fillId="0" fontId="24" numFmtId="0" xfId="0" applyAlignment="1" applyBorder="1" applyFont="1">
      <alignment horizontal="center" vertical="center"/>
    </xf>
    <xf borderId="22" fillId="0" fontId="24" numFmtId="0" xfId="0" applyAlignment="1" applyBorder="1" applyFont="1">
      <alignment horizontal="center" vertical="center"/>
    </xf>
    <xf borderId="100" fillId="0" fontId="1" numFmtId="0" xfId="0" applyAlignment="1" applyBorder="1" applyFont="1">
      <alignment horizontal="center" vertical="center"/>
    </xf>
    <xf borderId="101" fillId="0" fontId="1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readingOrder="0" vertical="center"/>
    </xf>
    <xf borderId="98" fillId="0" fontId="1" numFmtId="0" xfId="0" applyBorder="1" applyFont="1"/>
    <xf borderId="102" fillId="0" fontId="1" numFmtId="0" xfId="0" applyBorder="1" applyFont="1"/>
    <xf borderId="102" fillId="0" fontId="1" numFmtId="0" xfId="0" applyAlignment="1" applyBorder="1" applyFont="1">
      <alignment horizontal="center" vertical="center"/>
    </xf>
    <xf borderId="96" fillId="7" fontId="11" numFmtId="0" xfId="0" applyAlignment="1" applyBorder="1" applyFont="1">
      <alignment horizontal="right" readingOrder="0" vertical="center"/>
    </xf>
    <xf borderId="103" fillId="0" fontId="7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readingOrder="0"/>
    </xf>
    <xf borderId="27" fillId="0" fontId="1" numFmtId="0" xfId="0" applyBorder="1" applyFont="1"/>
    <xf borderId="104" fillId="9" fontId="12" numFmtId="0" xfId="0" applyAlignment="1" applyBorder="1" applyFont="1">
      <alignment horizontal="center" readingOrder="0" shrinkToFit="0" vertical="center" wrapText="0"/>
    </xf>
    <xf borderId="86" fillId="11" fontId="1" numFmtId="0" xfId="0" applyAlignment="1" applyBorder="1" applyFont="1">
      <alignment readingOrder="0"/>
    </xf>
    <xf borderId="38" fillId="11" fontId="1" numFmtId="0" xfId="0" applyAlignment="1" applyBorder="1" applyFont="1">
      <alignment readingOrder="0"/>
    </xf>
    <xf borderId="86" fillId="11" fontId="1" numFmtId="0" xfId="0" applyBorder="1" applyFont="1"/>
    <xf borderId="38" fillId="11" fontId="1" numFmtId="0" xfId="0" applyBorder="1" applyFont="1"/>
    <xf borderId="0" fillId="0" fontId="3" numFmtId="49" xfId="0" applyAlignment="1" applyFont="1" applyNumberFormat="1">
      <alignment horizontal="center" readingOrder="0"/>
    </xf>
    <xf borderId="43" fillId="19" fontId="9" numFmtId="0" xfId="0" applyAlignment="1" applyBorder="1" applyFill="1" applyFont="1">
      <alignment horizontal="center" readingOrder="0" shrinkToFit="0" vertical="center" wrapText="1"/>
    </xf>
    <xf borderId="105" fillId="0" fontId="7" numFmtId="0" xfId="0" applyAlignment="1" applyBorder="1" applyFont="1">
      <alignment horizontal="center" readingOrder="0" vertical="center"/>
    </xf>
    <xf borderId="51" fillId="19" fontId="7" numFmtId="0" xfId="0" applyAlignment="1" applyBorder="1" applyFont="1">
      <alignment horizontal="center" readingOrder="0" vertical="center"/>
    </xf>
    <xf borderId="105" fillId="6" fontId="7" numFmtId="0" xfId="0" applyAlignment="1" applyBorder="1" applyFont="1">
      <alignment horizontal="center" readingOrder="0" vertical="center"/>
    </xf>
    <xf borderId="105" fillId="0" fontId="13" numFmtId="0" xfId="0" applyBorder="1" applyFont="1"/>
    <xf borderId="74" fillId="19" fontId="13" numFmtId="0" xfId="0" applyAlignment="1" applyBorder="1" applyFont="1">
      <alignment horizontal="center"/>
    </xf>
    <xf borderId="43" fillId="5" fontId="13" numFmtId="0" xfId="0" applyAlignment="1" applyBorder="1" applyFont="1">
      <alignment horizontal="center" vertical="center"/>
    </xf>
    <xf borderId="63" fillId="5" fontId="13" numFmtId="0" xfId="0" applyAlignment="1" applyBorder="1" applyFont="1">
      <alignment horizontal="center" vertical="center"/>
    </xf>
    <xf borderId="0" fillId="9" fontId="12" numFmtId="0" xfId="0" applyAlignment="1" applyFont="1">
      <alignment horizontal="center" readingOrder="0" shrinkToFit="0" vertical="center" wrapText="0"/>
    </xf>
    <xf borderId="51" fillId="9" fontId="1" numFmtId="0" xfId="0" applyAlignment="1" applyBorder="1" applyFont="1">
      <alignment horizontal="center" readingOrder="0" shrinkToFit="0" vertical="center" wrapText="0"/>
    </xf>
    <xf borderId="0" fillId="9" fontId="2" numFmtId="166" xfId="0" applyAlignment="1" applyFont="1" applyNumberFormat="1">
      <alignment shrinkToFit="0" vertical="center" wrapText="0"/>
    </xf>
    <xf borderId="62" fillId="9" fontId="16" numFmtId="0" xfId="0" applyAlignment="1" applyBorder="1" applyFont="1">
      <alignment horizontal="center" readingOrder="0" vertical="center"/>
    </xf>
    <xf borderId="77" fillId="9" fontId="12" numFmtId="0" xfId="0" applyAlignment="1" applyBorder="1" applyFont="1">
      <alignment horizontal="center" readingOrder="0" shrinkToFit="0" vertical="center" wrapText="0"/>
    </xf>
    <xf borderId="74" fillId="9" fontId="1" numFmtId="0" xfId="0" applyAlignment="1" applyBorder="1" applyFont="1">
      <alignment horizontal="center" readingOrder="0" shrinkToFit="0" vertical="center" wrapText="0"/>
    </xf>
    <xf borderId="104" fillId="9" fontId="2" numFmtId="166" xfId="0" applyAlignment="1" applyBorder="1" applyFont="1" applyNumberFormat="1">
      <alignment shrinkToFit="0" vertical="center" wrapText="0"/>
    </xf>
    <xf borderId="106" fillId="0" fontId="6" numFmtId="0" xfId="0" applyBorder="1" applyFont="1"/>
    <xf borderId="107" fillId="5" fontId="13" numFmtId="0" xfId="0" applyAlignment="1" applyBorder="1" applyFont="1">
      <alignment horizontal="center" vertical="center"/>
    </xf>
    <xf borderId="49" fillId="0" fontId="13" numFmtId="0" xfId="0" applyAlignment="1" applyBorder="1" applyFont="1">
      <alignment horizontal="center" vertical="center"/>
    </xf>
    <xf borderId="49" fillId="0" fontId="6" numFmtId="0" xfId="0" applyBorder="1" applyFont="1"/>
    <xf borderId="61" fillId="0" fontId="16" numFmtId="0" xfId="0" applyAlignment="1" applyBorder="1" applyFont="1">
      <alignment horizontal="center" readingOrder="0" vertical="center"/>
    </xf>
    <xf borderId="63" fillId="0" fontId="13" numFmtId="0" xfId="0" applyAlignment="1" applyBorder="1" applyFont="1">
      <alignment horizontal="center" readingOrder="0" vertical="center"/>
    </xf>
    <xf borderId="75" fillId="5" fontId="13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/>
    </xf>
    <xf borderId="108" fillId="0" fontId="7" numFmtId="0" xfId="0" applyAlignment="1" applyBorder="1" applyFont="1">
      <alignment horizontal="center" readingOrder="0" vertical="center"/>
    </xf>
    <xf borderId="10" fillId="0" fontId="24" numFmtId="0" xfId="0" applyAlignment="1" applyBorder="1" applyFont="1">
      <alignment vertical="bottom"/>
    </xf>
    <xf borderId="11" fillId="0" fontId="24" numFmtId="0" xfId="0" applyAlignment="1" applyBorder="1" applyFont="1">
      <alignment vertical="bottom"/>
    </xf>
    <xf borderId="10" fillId="0" fontId="24" numFmtId="0" xfId="0" applyAlignment="1" applyBorder="1" applyFont="1">
      <alignment vertical="bottom"/>
    </xf>
    <xf borderId="11" fillId="0" fontId="24" numFmtId="0" xfId="0" applyAlignment="1" applyBorder="1" applyFont="1">
      <alignment vertical="bottom"/>
    </xf>
    <xf borderId="109" fillId="5" fontId="12" numFmtId="0" xfId="0" applyAlignment="1" applyBorder="1" applyFont="1">
      <alignment horizontal="center" readingOrder="0" vertical="center"/>
    </xf>
    <xf borderId="110" fillId="0" fontId="6" numFmtId="0" xfId="0" applyBorder="1" applyFont="1"/>
    <xf borderId="29" fillId="0" fontId="7" numFmtId="0" xfId="0" applyAlignment="1" applyBorder="1" applyFont="1">
      <alignment horizontal="center" readingOrder="0" vertical="center"/>
    </xf>
    <xf borderId="14" fillId="5" fontId="12" numFmtId="0" xfId="0" applyAlignment="1" applyBorder="1" applyFont="1">
      <alignment horizontal="center" readingOrder="0" vertical="center"/>
    </xf>
    <xf borderId="71" fillId="7" fontId="24" numFmtId="0" xfId="0" applyAlignment="1" applyBorder="1" applyFont="1">
      <alignment horizontal="right" readingOrder="0" vertical="center"/>
    </xf>
    <xf borderId="111" fillId="20" fontId="1" numFmtId="0" xfId="0" applyAlignment="1" applyBorder="1" applyFill="1" applyFont="1">
      <alignment horizontal="right" readingOrder="0"/>
    </xf>
    <xf borderId="42" fillId="21" fontId="1" numFmtId="0" xfId="0" applyAlignment="1" applyBorder="1" applyFill="1" applyFont="1">
      <alignment horizontal="center" readingOrder="0" shrinkToFit="0" vertical="center" wrapText="0"/>
    </xf>
    <xf borderId="50" fillId="21" fontId="1" numFmtId="0" xfId="0" applyAlignment="1" applyBorder="1" applyFont="1">
      <alignment horizontal="center" readingOrder="0" shrinkToFit="0" vertical="center" wrapText="0"/>
    </xf>
    <xf borderId="57" fillId="21" fontId="1" numFmtId="0" xfId="0" applyAlignment="1" applyBorder="1" applyFont="1">
      <alignment horizontal="center" readingOrder="0" shrinkToFit="0" vertical="center" wrapText="0"/>
    </xf>
    <xf borderId="0" fillId="21" fontId="1" numFmtId="0" xfId="0" applyAlignment="1" applyFont="1">
      <alignment horizontal="center" readingOrder="0" shrinkToFit="0" vertical="center" wrapText="0"/>
    </xf>
    <xf borderId="69" fillId="21" fontId="1" numFmtId="0" xfId="0" applyAlignment="1" applyBorder="1" applyFont="1">
      <alignment horizontal="center" readingOrder="0" shrinkToFit="0" vertical="center" wrapText="0"/>
    </xf>
    <xf borderId="77" fillId="21" fontId="1" numFmtId="0" xfId="0" applyAlignment="1" applyBorder="1" applyFont="1">
      <alignment horizontal="center" readingOrder="0" shrinkToFit="0" vertical="center" wrapText="0"/>
    </xf>
    <xf borderId="8" fillId="0" fontId="24" numFmtId="49" xfId="0" applyAlignment="1" applyBorder="1" applyFont="1" applyNumberFormat="1">
      <alignment horizontal="center"/>
    </xf>
    <xf borderId="112" fillId="5" fontId="5" numFmtId="0" xfId="0" applyAlignment="1" applyBorder="1" applyFont="1">
      <alignment horizontal="center" readingOrder="0" vertical="center"/>
    </xf>
    <xf borderId="112" fillId="0" fontId="25" numFmtId="0" xfId="0" applyAlignment="1" applyBorder="1" applyFont="1">
      <alignment horizontal="center" vertical="center"/>
    </xf>
    <xf borderId="112" fillId="0" fontId="6" numFmtId="0" xfId="0" applyBorder="1" applyFont="1"/>
    <xf borderId="100" fillId="0" fontId="1" numFmtId="0" xfId="0" applyBorder="1" applyFont="1"/>
    <xf borderId="113" fillId="0" fontId="1" numFmtId="0" xfId="0" applyAlignment="1" applyBorder="1" applyFont="1">
      <alignment horizontal="center" vertical="center"/>
    </xf>
    <xf borderId="114" fillId="0" fontId="1" numFmtId="0" xfId="0" applyAlignment="1" applyBorder="1" applyFont="1">
      <alignment horizontal="center" vertical="center"/>
    </xf>
    <xf borderId="114" fillId="0" fontId="1" numFmtId="0" xfId="0" applyAlignment="1" applyBorder="1" applyFont="1">
      <alignment horizontal="center" readingOrder="0" vertical="center"/>
    </xf>
    <xf borderId="8" fillId="0" fontId="24" numFmtId="49" xfId="0" applyAlignment="1" applyBorder="1" applyFont="1" applyNumberFormat="1">
      <alignment horizontal="center" readingOrder="0"/>
    </xf>
    <xf borderId="115" fillId="5" fontId="12" numFmtId="0" xfId="0" applyAlignment="1" applyBorder="1" applyFont="1">
      <alignment horizontal="center" readingOrder="0" vertical="center"/>
    </xf>
    <xf borderId="116" fillId="0" fontId="24" numFmtId="49" xfId="0" applyAlignment="1" applyBorder="1" applyFont="1" applyNumberFormat="1">
      <alignment horizontal="center"/>
    </xf>
    <xf borderId="117" fillId="0" fontId="1" numFmtId="0" xfId="0" applyBorder="1" applyFont="1"/>
    <xf borderId="95" fillId="0" fontId="1" numFmtId="0" xfId="0" applyAlignment="1" applyBorder="1" applyFont="1">
      <alignment horizontal="center" vertical="center"/>
    </xf>
    <xf borderId="91" fillId="7" fontId="11" numFmtId="0" xfId="0" applyAlignment="1" applyBorder="1" applyFont="1">
      <alignment horizontal="right" readingOrder="0" vertical="center"/>
    </xf>
    <xf borderId="91" fillId="8" fontId="12" numFmtId="0" xfId="0" applyAlignment="1" applyBorder="1" applyFont="1">
      <alignment horizontal="center" readingOrder="0" vertical="center"/>
    </xf>
    <xf borderId="118" fillId="5" fontId="12" numFmtId="0" xfId="0" applyAlignment="1" applyBorder="1" applyFont="1">
      <alignment horizontal="center" readingOrder="0" vertical="center"/>
    </xf>
    <xf borderId="118" fillId="0" fontId="7" numFmtId="0" xfId="0" applyAlignment="1" applyBorder="1" applyFont="1">
      <alignment horizontal="center" readingOrder="0" vertical="center"/>
    </xf>
    <xf borderId="119" fillId="0" fontId="6" numFmtId="0" xfId="0" applyBorder="1" applyFont="1"/>
    <xf borderId="120" fillId="0" fontId="6" numFmtId="0" xfId="0" applyBorder="1" applyFont="1"/>
    <xf borderId="91" fillId="22" fontId="11" numFmtId="0" xfId="0" applyAlignment="1" applyBorder="1" applyFill="1" applyFont="1">
      <alignment horizontal="right" readingOrder="0" vertical="center"/>
    </xf>
    <xf borderId="91" fillId="22" fontId="12" numFmtId="0" xfId="0" applyAlignment="1" applyBorder="1" applyFont="1">
      <alignment horizontal="center" readingOrder="0" vertical="center"/>
    </xf>
    <xf borderId="8" fillId="22" fontId="24" numFmtId="49" xfId="0" applyAlignment="1" applyBorder="1" applyFont="1" applyNumberFormat="1">
      <alignment horizontal="center"/>
    </xf>
    <xf borderId="9" fillId="22" fontId="7" numFmtId="0" xfId="0" applyAlignment="1" applyBorder="1" applyFont="1">
      <alignment horizontal="center" readingOrder="0" vertical="center"/>
    </xf>
    <xf borderId="121" fillId="5" fontId="12" numFmtId="0" xfId="0" applyAlignment="1" applyBorder="1" applyFont="1">
      <alignment horizontal="center" readingOrder="0" vertical="center"/>
    </xf>
    <xf borderId="26" fillId="0" fontId="1" numFmtId="0" xfId="0" applyBorder="1" applyFont="1"/>
    <xf borderId="10" fillId="7" fontId="11" numFmtId="0" xfId="0" applyAlignment="1" applyBorder="1" applyFont="1">
      <alignment horizontal="right" readingOrder="0" vertical="center"/>
    </xf>
    <xf borderId="122" fillId="5" fontId="12" numFmtId="0" xfId="0" applyAlignment="1" applyBorder="1" applyFont="1">
      <alignment horizontal="center" readingOrder="0" vertical="center"/>
    </xf>
    <xf borderId="122" fillId="0" fontId="1" numFmtId="0" xfId="0" applyBorder="1" applyFont="1"/>
    <xf borderId="108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08" fillId="0" fontId="1" numFmtId="0" xfId="0" applyBorder="1" applyFont="1"/>
    <xf borderId="123" fillId="0" fontId="1" numFmtId="0" xfId="0" applyBorder="1" applyFont="1"/>
    <xf borderId="124" fillId="0" fontId="1" numFmtId="0" xfId="0" applyBorder="1" applyFont="1"/>
    <xf borderId="125" fillId="0" fontId="1" numFmtId="0" xfId="0" applyBorder="1" applyFont="1"/>
    <xf borderId="126" fillId="23" fontId="11" numFmtId="0" xfId="0" applyAlignment="1" applyBorder="1" applyFill="1" applyFont="1">
      <alignment horizontal="right" readingOrder="0" vertical="center"/>
    </xf>
    <xf borderId="34" fillId="23" fontId="5" numFmtId="0" xfId="0" applyAlignment="1" applyBorder="1" applyFont="1">
      <alignment horizontal="center"/>
    </xf>
    <xf borderId="127" fillId="23" fontId="7" numFmtId="0" xfId="0" applyAlignment="1" applyBorder="1" applyFont="1">
      <alignment horizontal="center" readingOrder="0" vertical="center"/>
    </xf>
    <xf borderId="34" fillId="23" fontId="7" numFmtId="0" xfId="0" applyAlignment="1" applyBorder="1" applyFont="1">
      <alignment horizontal="center" readingOrder="0" vertical="center"/>
    </xf>
    <xf borderId="34" fillId="23" fontId="1" numFmtId="0" xfId="0" applyBorder="1" applyFont="1"/>
    <xf borderId="35" fillId="23" fontId="1" numFmtId="0" xfId="0" applyBorder="1" applyFont="1"/>
    <xf borderId="128" fillId="7" fontId="11" numFmtId="0" xfId="0" applyAlignment="1" applyBorder="1" applyFont="1">
      <alignment horizontal="right" readingOrder="0" vertical="center"/>
    </xf>
    <xf borderId="129" fillId="0" fontId="7" numFmtId="0" xfId="0" applyAlignment="1" applyBorder="1" applyFont="1">
      <alignment horizontal="center" readingOrder="0" vertical="center"/>
    </xf>
    <xf borderId="130" fillId="6" fontId="7" numFmtId="0" xfId="0" applyAlignment="1" applyBorder="1" applyFont="1">
      <alignment horizontal="center" readingOrder="0" vertical="center"/>
    </xf>
    <xf borderId="131" fillId="0" fontId="7" numFmtId="0" xfId="0" applyAlignment="1" applyBorder="1" applyFont="1">
      <alignment horizontal="center" readingOrder="0" vertical="center"/>
    </xf>
    <xf borderId="23" fillId="7" fontId="11" numFmtId="0" xfId="0" applyAlignment="1" applyBorder="1" applyFont="1">
      <alignment horizontal="right" readingOrder="0" vertical="center"/>
    </xf>
    <xf borderId="91" fillId="5" fontId="5" numFmtId="0" xfId="0" applyAlignment="1" applyBorder="1" applyFont="1">
      <alignment horizontal="center"/>
    </xf>
    <xf borderId="132" fillId="0" fontId="1" numFmtId="0" xfId="0" applyAlignment="1" applyBorder="1" applyFont="1">
      <alignment horizontal="center" vertical="center"/>
    </xf>
    <xf borderId="133" fillId="0" fontId="1" numFmtId="0" xfId="0" applyAlignment="1" applyBorder="1" applyFont="1">
      <alignment horizontal="center" vertical="center"/>
    </xf>
    <xf borderId="0" fillId="0" fontId="2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1" fillId="0" fontId="1" numFmtId="0" xfId="0" applyAlignment="1" applyBorder="1" applyFont="1">
      <alignment readingOrder="0"/>
    </xf>
    <xf borderId="134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readingOrder="0" vertical="center"/>
    </xf>
    <xf borderId="135" fillId="0" fontId="1" numFmtId="0" xfId="0" applyAlignment="1" applyBorder="1" applyFont="1">
      <alignment horizontal="center" vertical="center"/>
    </xf>
    <xf borderId="5" fillId="0" fontId="1" numFmtId="0" xfId="0" applyBorder="1" applyFont="1"/>
    <xf borderId="136" fillId="0" fontId="13" numFmtId="0" xfId="0" applyBorder="1" applyFont="1"/>
    <xf borderId="137" fillId="9" fontId="12" numFmtId="0" xfId="0" applyAlignment="1" applyBorder="1" applyFont="1">
      <alignment horizontal="center" readingOrder="0" shrinkToFit="0" vertical="center" wrapText="0"/>
    </xf>
    <xf borderId="138" fillId="9" fontId="1" numFmtId="0" xfId="0" applyAlignment="1" applyBorder="1" applyFont="1">
      <alignment horizontal="center" readingOrder="0" shrinkToFit="0" vertical="center" wrapText="0"/>
    </xf>
    <xf borderId="139" fillId="9" fontId="2" numFmtId="166" xfId="0" applyAlignment="1" applyBorder="1" applyFont="1" applyNumberFormat="1">
      <alignment shrinkToFit="0" vertical="center" wrapText="0"/>
    </xf>
    <xf borderId="140" fillId="9" fontId="12" numFmtId="0" xfId="0" applyAlignment="1" applyBorder="1" applyFont="1">
      <alignment horizontal="center" readingOrder="0" shrinkToFit="0" vertical="center" wrapText="0"/>
    </xf>
    <xf borderId="141" fillId="9" fontId="1" numFmtId="0" xfId="0" applyAlignment="1" applyBorder="1" applyFont="1">
      <alignment horizontal="center" readingOrder="0" shrinkToFit="0" vertical="center" wrapText="0"/>
    </xf>
    <xf borderId="142" fillId="9" fontId="2" numFmtId="166" xfId="0" applyAlignment="1" applyBorder="1" applyFont="1" applyNumberFormat="1">
      <alignment shrinkToFit="0" vertical="center" wrapText="0"/>
    </xf>
    <xf borderId="143" fillId="9" fontId="12" numFmtId="0" xfId="0" applyAlignment="1" applyBorder="1" applyFont="1">
      <alignment horizontal="center" readingOrder="0" shrinkToFit="0" vertical="center" wrapText="0"/>
    </xf>
    <xf borderId="144" fillId="9" fontId="1" numFmtId="0" xfId="0" applyAlignment="1" applyBorder="1" applyFont="1">
      <alignment horizontal="center" readingOrder="0" shrinkToFit="0" vertical="center" wrapText="0"/>
    </xf>
    <xf borderId="145" fillId="9" fontId="2" numFmtId="166" xfId="0" applyAlignment="1" applyBorder="1" applyFont="1" applyNumberFormat="1">
      <alignment shrinkToFit="0" vertical="center" wrapText="0"/>
    </xf>
    <xf borderId="127" fillId="0" fontId="1" numFmtId="0" xfId="0" applyBorder="1" applyFont="1"/>
    <xf borderId="146" fillId="0" fontId="1" numFmtId="0" xfId="0" applyBorder="1" applyFont="1"/>
    <xf borderId="134" fillId="0" fontId="1" numFmtId="0" xfId="0" applyBorder="1" applyFont="1"/>
    <xf borderId="91" fillId="24" fontId="11" numFmtId="0" xfId="0" applyAlignment="1" applyBorder="1" applyFill="1" applyFont="1">
      <alignment horizontal="right" readingOrder="0" vertical="center"/>
    </xf>
    <xf borderId="91" fillId="24" fontId="12" numFmtId="0" xfId="0" applyAlignment="1" applyBorder="1" applyFont="1">
      <alignment horizontal="center" readingOrder="0" vertical="center"/>
    </xf>
    <xf borderId="9" fillId="25" fontId="7" numFmtId="0" xfId="0" applyAlignment="1" applyBorder="1" applyFill="1" applyFont="1">
      <alignment horizontal="center" readingOrder="0" vertical="center"/>
    </xf>
    <xf borderId="14" fillId="8" fontId="12" numFmtId="0" xfId="0" applyAlignment="1" applyBorder="1" applyFont="1">
      <alignment horizontal="center" readingOrder="0" vertical="center"/>
    </xf>
    <xf borderId="147" fillId="0" fontId="1" numFmtId="0" xfId="0" applyAlignment="1" applyBorder="1" applyFont="1">
      <alignment horizontal="center" vertical="center"/>
    </xf>
    <xf borderId="148" fillId="0" fontId="1" numFmtId="49" xfId="0" applyAlignment="1" applyBorder="1" applyFont="1" applyNumberFormat="1">
      <alignment horizontal="center" readingOrder="0" vertical="center"/>
    </xf>
    <xf borderId="149" fillId="0" fontId="7" numFmtId="0" xfId="0" applyAlignment="1" applyBorder="1" applyFont="1">
      <alignment horizontal="center" readingOrder="0" vertical="center"/>
    </xf>
    <xf borderId="150" fillId="0" fontId="6" numFmtId="0" xfId="0" applyBorder="1" applyFont="1"/>
    <xf borderId="36" fillId="0" fontId="6" numFmtId="0" xfId="0" applyBorder="1" applyFont="1"/>
    <xf borderId="93" fillId="6" fontId="7" numFmtId="0" xfId="0" applyAlignment="1" applyBorder="1" applyFont="1">
      <alignment horizontal="center" readingOrder="0" vertical="center"/>
    </xf>
    <xf borderId="94" fillId="6" fontId="7" numFmtId="0" xfId="0" applyAlignment="1" applyBorder="1" applyFont="1">
      <alignment horizontal="center" readingOrder="0" vertical="center"/>
    </xf>
    <xf borderId="15" fillId="0" fontId="1" numFmtId="0" xfId="0" applyBorder="1" applyFont="1"/>
    <xf borderId="28" fillId="0" fontId="1" numFmtId="0" xfId="0" applyBorder="1" applyFont="1"/>
    <xf borderId="108" fillId="6" fontId="7" numFmtId="0" xfId="0" applyAlignment="1" applyBorder="1" applyFont="1">
      <alignment horizontal="center" readingOrder="0" vertical="center"/>
    </xf>
    <xf borderId="71" fillId="0" fontId="1" numFmtId="0" xfId="0" applyBorder="1" applyFont="1"/>
    <xf borderId="148" fillId="0" fontId="24" numFmtId="49" xfId="0" applyAlignment="1" applyBorder="1" applyFont="1" applyNumberFormat="1">
      <alignment horizontal="center" readingOrder="0" vertical="center"/>
    </xf>
    <xf borderId="149" fillId="6" fontId="7" numFmtId="0" xfId="0" applyAlignment="1" applyBorder="1" applyFont="1">
      <alignment horizontal="center" readingOrder="0" vertical="center"/>
    </xf>
    <xf borderId="151" fillId="5" fontId="12" numFmtId="0" xfId="0" applyAlignment="1" applyBorder="1" applyFont="1">
      <alignment horizontal="center" readingOrder="0" vertical="center"/>
    </xf>
    <xf borderId="23" fillId="0" fontId="6" numFmtId="0" xfId="0" applyBorder="1" applyFont="1"/>
    <xf borderId="129" fillId="0" fontId="6" numFmtId="0" xfId="0" applyBorder="1" applyFont="1"/>
    <xf borderId="116" fillId="6" fontId="7" numFmtId="0" xfId="0" applyAlignment="1" applyBorder="1" applyFont="1">
      <alignment horizontal="center" readingOrder="0" vertical="center"/>
    </xf>
    <xf borderId="8" fillId="0" fontId="24" numFmtId="49" xfId="0" applyAlignment="1" applyBorder="1" applyFont="1" applyNumberFormat="1">
      <alignment horizontal="center" vertical="bottom"/>
    </xf>
    <xf borderId="9" fillId="0" fontId="25" numFmtId="0" xfId="0" applyAlignment="1" applyBorder="1" applyFont="1">
      <alignment horizontal="center"/>
    </xf>
    <xf borderId="9" fillId="0" fontId="25" numFmtId="0" xfId="0" applyAlignment="1" applyBorder="1" applyFont="1">
      <alignment horizontal="center" readingOrder="0"/>
    </xf>
    <xf borderId="87" fillId="0" fontId="1" numFmtId="0" xfId="0" applyBorder="1" applyFont="1"/>
    <xf borderId="152" fillId="3" fontId="4" numFmtId="0" xfId="0" applyAlignment="1" applyBorder="1" applyFont="1">
      <alignment horizontal="center" readingOrder="0" vertical="center"/>
    </xf>
    <xf borderId="153" fillId="3" fontId="5" numFmtId="165" xfId="0" applyAlignment="1" applyBorder="1" applyFont="1" applyNumberFormat="1">
      <alignment horizontal="center" vertical="center"/>
    </xf>
    <xf borderId="154" fillId="0" fontId="6" numFmtId="0" xfId="0" applyBorder="1" applyFont="1"/>
    <xf borderId="0" fillId="26" fontId="1" numFmtId="0" xfId="0" applyFill="1" applyFont="1"/>
    <xf borderId="0" fillId="0" fontId="24" numFmtId="0" xfId="0" applyAlignment="1" applyFont="1">
      <alignment vertical="bottom"/>
    </xf>
    <xf borderId="4" fillId="4" fontId="26" numFmtId="0" xfId="0" applyAlignment="1" applyBorder="1" applyFont="1">
      <alignment horizontal="center" readingOrder="0" vertical="center"/>
    </xf>
    <xf borderId="12" fillId="6" fontId="7" numFmtId="0" xfId="0" applyAlignment="1" applyBorder="1" applyFont="1">
      <alignment horizontal="center" readingOrder="0" vertical="center"/>
    </xf>
    <xf borderId="14" fillId="10" fontId="12" numFmtId="0" xfId="0" applyAlignment="1" applyBorder="1" applyFont="1">
      <alignment horizontal="center" readingOrder="0" vertical="center"/>
    </xf>
    <xf borderId="81" fillId="0" fontId="1" numFmtId="166" xfId="0" applyAlignment="1" applyBorder="1" applyFont="1" applyNumberFormat="1">
      <alignment horizontal="center"/>
    </xf>
    <xf borderId="86" fillId="11" fontId="1" numFmtId="0" xfId="0" applyAlignment="1" applyBorder="1" applyFont="1">
      <alignment horizontal="center" readingOrder="0" vertical="center"/>
    </xf>
    <xf borderId="38" fillId="0" fontId="6" numFmtId="0" xfId="0" applyBorder="1" applyFont="1"/>
    <xf borderId="86" fillId="11" fontId="1" numFmtId="0" xfId="0" applyAlignment="1" applyBorder="1" applyFont="1">
      <alignment horizontal="center" vertical="center"/>
    </xf>
    <xf borderId="43" fillId="0" fontId="1" numFmtId="166" xfId="0" applyAlignment="1" applyBorder="1" applyFont="1" applyNumberFormat="1">
      <alignment horizontal="center"/>
    </xf>
    <xf borderId="84" fillId="6" fontId="2" numFmtId="0" xfId="0" applyAlignment="1" applyBorder="1" applyFont="1">
      <alignment horizontal="center" vertical="center"/>
    </xf>
    <xf borderId="84" fillId="0" fontId="2" numFmtId="0" xfId="0" applyAlignment="1" applyBorder="1" applyFont="1">
      <alignment horizontal="center" readingOrder="0" vertical="center"/>
    </xf>
    <xf borderId="155" fillId="3" fontId="4" numFmtId="0" xfId="0" applyAlignment="1" applyBorder="1" applyFont="1">
      <alignment horizontal="center" readingOrder="0" vertical="center"/>
    </xf>
    <xf borderId="156" fillId="3" fontId="5" numFmtId="165" xfId="0" applyAlignment="1" applyBorder="1" applyFont="1" applyNumberFormat="1">
      <alignment horizontal="center" vertical="center"/>
    </xf>
    <xf borderId="157" fillId="0" fontId="6" numFmtId="0" xfId="0" applyBorder="1" applyFont="1"/>
    <xf borderId="36" fillId="6" fontId="7" numFmtId="0" xfId="0" applyAlignment="1" applyBorder="1" applyFont="1">
      <alignment horizontal="center" readingOrder="0" vertical="center"/>
    </xf>
    <xf borderId="4" fillId="7" fontId="11" numFmtId="0" xfId="0" applyAlignment="1" applyBorder="1" applyFont="1">
      <alignment horizontal="right" readingOrder="0" vertical="center"/>
    </xf>
    <xf borderId="158" fillId="5" fontId="12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159" fillId="0" fontId="7" numFmtId="0" xfId="0" applyAlignment="1" applyBorder="1" applyFont="1">
      <alignment horizontal="center" readingOrder="0" vertical="center"/>
    </xf>
    <xf borderId="160" fillId="0" fontId="7" numFmtId="0" xfId="0" applyAlignment="1" applyBorder="1" applyFont="1">
      <alignment horizontal="center" readingOrder="0" vertical="center"/>
    </xf>
    <xf borderId="161" fillId="0" fontId="6" numFmtId="0" xfId="0" applyBorder="1" applyFont="1"/>
    <xf borderId="162" fillId="0" fontId="6" numFmtId="0" xfId="0" applyBorder="1" applyFont="1"/>
    <xf borderId="95" fillId="0" fontId="1" numFmtId="0" xfId="0" applyBorder="1" applyFont="1"/>
    <xf borderId="22" fillId="0" fontId="1" numFmtId="0" xfId="0" applyBorder="1" applyFont="1"/>
    <xf borderId="163" fillId="0" fontId="1" numFmtId="0" xfId="0" applyBorder="1" applyFont="1"/>
    <xf borderId="164" fillId="0" fontId="1" numFmtId="0" xfId="0" applyBorder="1" applyFont="1"/>
    <xf borderId="101" fillId="0" fontId="1" numFmtId="0" xfId="0" applyBorder="1" applyFont="1"/>
    <xf borderId="165" fillId="5" fontId="12" numFmtId="0" xfId="0" applyAlignment="1" applyBorder="1" applyFont="1">
      <alignment horizontal="center" readingOrder="0" vertical="center"/>
    </xf>
    <xf borderId="97" fillId="0" fontId="7" numFmtId="0" xfId="0" applyAlignment="1" applyBorder="1" applyFont="1">
      <alignment horizontal="center" readingOrder="0" vertical="center"/>
    </xf>
    <xf borderId="166" fillId="0" fontId="6" numFmtId="0" xfId="0" applyBorder="1" applyFont="1"/>
    <xf borderId="95" fillId="0" fontId="1" numFmtId="0" xfId="0" applyAlignment="1" applyBorder="1" applyFont="1">
      <alignment readingOrder="0"/>
    </xf>
    <xf borderId="167" fillId="7" fontId="11" numFmtId="0" xfId="0" applyAlignment="1" applyBorder="1" applyFont="1">
      <alignment horizontal="right" readingOrder="0" vertical="center"/>
    </xf>
    <xf borderId="168" fillId="5" fontId="12" numFmtId="0" xfId="0" applyAlignment="1" applyBorder="1" applyFont="1">
      <alignment horizontal="center" readingOrder="0" vertical="center"/>
    </xf>
    <xf borderId="169" fillId="0" fontId="7" numFmtId="0" xfId="0" applyAlignment="1" applyBorder="1" applyFont="1">
      <alignment horizontal="center" readingOrder="0" vertical="center"/>
    </xf>
    <xf borderId="170" fillId="6" fontId="7" numFmtId="0" xfId="0" applyAlignment="1" applyBorder="1" applyFont="1">
      <alignment horizontal="center" readingOrder="0" vertical="center"/>
    </xf>
    <xf borderId="171" fillId="0" fontId="6" numFmtId="0" xfId="0" applyBorder="1" applyFont="1"/>
    <xf borderId="14" fillId="7" fontId="11" numFmtId="0" xfId="0" applyAlignment="1" applyBorder="1" applyFont="1">
      <alignment horizontal="right" readingOrder="0" vertical="center"/>
    </xf>
    <xf borderId="172" fillId="7" fontId="11" numFmtId="0" xfId="0" applyAlignment="1" applyBorder="1" applyFont="1">
      <alignment horizontal="right" readingOrder="0" vertical="center"/>
    </xf>
    <xf borderId="149" fillId="5" fontId="12" numFmtId="0" xfId="0" applyAlignment="1" applyBorder="1" applyFont="1">
      <alignment horizontal="center" readingOrder="0" vertical="center"/>
    </xf>
    <xf borderId="173" fillId="0" fontId="6" numFmtId="0" xfId="0" applyBorder="1" applyFont="1"/>
    <xf borderId="174" fillId="0" fontId="6" numFmtId="0" xfId="0" applyBorder="1" applyFont="1"/>
    <xf borderId="175" fillId="0" fontId="6" numFmtId="0" xfId="0" applyBorder="1" applyFont="1"/>
    <xf borderId="174" fillId="0" fontId="7" numFmtId="0" xfId="0" applyAlignment="1" applyBorder="1" applyFont="1">
      <alignment horizontal="center" readingOrder="0" vertical="center"/>
    </xf>
    <xf borderId="176" fillId="0" fontId="1" numFmtId="0" xfId="0" applyBorder="1" applyFont="1"/>
    <xf borderId="89" fillId="0" fontId="1" numFmtId="0" xfId="0" applyBorder="1" applyFont="1"/>
    <xf borderId="104" fillId="10" fontId="12" numFmtId="0" xfId="0" applyAlignment="1" applyBorder="1" applyFont="1">
      <alignment horizontal="center" readingOrder="0" shrinkToFit="0" vertical="center" wrapText="0"/>
    </xf>
    <xf borderId="77" fillId="10" fontId="1" numFmtId="0" xfId="0" applyAlignment="1" applyBorder="1" applyFont="1">
      <alignment horizontal="center" readingOrder="0" shrinkToFit="0" vertical="center" wrapText="0"/>
    </xf>
    <xf borderId="74" fillId="10" fontId="2" numFmtId="166" xfId="0" applyAlignment="1" applyBorder="1" applyFont="1" applyNumberFormat="1">
      <alignment shrinkToFit="0" vertical="center" wrapText="0"/>
    </xf>
    <xf borderId="80" fillId="0" fontId="16" numFmtId="0" xfId="0" applyAlignment="1" applyBorder="1" applyFont="1">
      <alignment horizontal="center" readingOrder="0" vertical="center"/>
    </xf>
    <xf borderId="9" fillId="27" fontId="7" numFmtId="0" xfId="0" applyAlignment="1" applyBorder="1" applyFill="1" applyFont="1">
      <alignment horizontal="center" readingOrder="0" vertical="center"/>
    </xf>
    <xf borderId="87" fillId="0" fontId="6" numFmtId="0" xfId="0" applyBorder="1" applyFont="1"/>
    <xf borderId="126" fillId="0" fontId="6" numFmtId="0" xfId="0" applyBorder="1" applyFont="1"/>
    <xf borderId="127" fillId="0" fontId="6" numFmtId="0" xfId="0" applyBorder="1" applyFont="1"/>
    <xf borderId="89" fillId="0" fontId="6" numFmtId="0" xfId="0" applyBorder="1" applyFont="1"/>
    <xf borderId="177" fillId="7" fontId="11" numFmtId="0" xfId="0" applyAlignment="1" applyBorder="1" applyFont="1">
      <alignment horizontal="right" readingOrder="0" vertical="center"/>
    </xf>
    <xf borderId="158" fillId="0" fontId="7" numFmtId="0" xfId="0" applyAlignment="1" applyBorder="1" applyFont="1">
      <alignment horizontal="center" readingOrder="0" vertical="center"/>
    </xf>
    <xf borderId="178" fillId="6" fontId="7" numFmtId="0" xfId="0" applyAlignment="1" applyBorder="1" applyFont="1">
      <alignment horizontal="center" readingOrder="0" vertical="center"/>
    </xf>
    <xf borderId="136" fillId="0" fontId="7" numFmtId="0" xfId="0" applyAlignment="1" applyBorder="1" applyFont="1">
      <alignment horizontal="center" readingOrder="0" vertical="center"/>
    </xf>
    <xf borderId="179" fillId="0" fontId="7" numFmtId="0" xfId="0" applyAlignment="1" applyBorder="1" applyFont="1">
      <alignment horizontal="center" readingOrder="0" vertical="center"/>
    </xf>
    <xf borderId="180" fillId="0" fontId="7" numFmtId="0" xfId="0" applyAlignment="1" applyBorder="1" applyFont="1">
      <alignment horizontal="center" readingOrder="0" vertical="center"/>
    </xf>
    <xf borderId="181" fillId="0" fontId="1" numFmtId="0" xfId="0" applyBorder="1" applyFont="1"/>
    <xf borderId="182" fillId="0" fontId="1" numFmtId="0" xfId="0" applyBorder="1" applyFont="1"/>
    <xf borderId="8" fillId="6" fontId="7" numFmtId="0" xfId="0" applyAlignment="1" applyBorder="1" applyFont="1">
      <alignment horizontal="center" readingOrder="0" vertical="center"/>
    </xf>
    <xf borderId="183" fillId="0" fontId="1" numFmtId="0" xfId="0" applyBorder="1" applyFont="1"/>
    <xf borderId="184" fillId="0" fontId="1" numFmtId="0" xfId="0" applyBorder="1" applyFont="1"/>
    <xf borderId="168" fillId="0" fontId="7" numFmtId="0" xfId="0" applyAlignment="1" applyBorder="1" applyFont="1">
      <alignment horizontal="center" readingOrder="0" vertical="center"/>
    </xf>
    <xf borderId="180" fillId="6" fontId="7" numFmtId="0" xfId="0" applyAlignment="1" applyBorder="1" applyFont="1">
      <alignment horizontal="center" readingOrder="0" vertical="center"/>
    </xf>
    <xf borderId="181" fillId="0" fontId="1" numFmtId="0" xfId="0" applyAlignment="1" applyBorder="1" applyFont="1">
      <alignment readingOrder="0"/>
    </xf>
    <xf borderId="25" fillId="0" fontId="1" numFmtId="0" xfId="0" applyAlignment="1" applyBorder="1" applyFont="1">
      <alignment readingOrder="0"/>
    </xf>
    <xf borderId="170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185" fillId="6" fontId="7" numFmtId="0" xfId="0" applyAlignment="1" applyBorder="1" applyFont="1">
      <alignment horizontal="center" readingOrder="0" vertical="center"/>
    </xf>
    <xf borderId="186" fillId="6" fontId="7" numFmtId="0" xfId="0" applyAlignment="1" applyBorder="1" applyFont="1">
      <alignment horizontal="center" readingOrder="0" vertical="center"/>
    </xf>
    <xf borderId="187" fillId="0" fontId="1" numFmtId="0" xfId="0" applyBorder="1" applyFont="1"/>
    <xf borderId="188" fillId="0" fontId="1" numFmtId="0" xfId="0" applyBorder="1" applyFont="1"/>
    <xf borderId="7" fillId="27" fontId="11" numFmtId="0" xfId="0" applyAlignment="1" applyBorder="1" applyFont="1">
      <alignment horizontal="right" readingOrder="0" vertical="center"/>
    </xf>
    <xf borderId="13" fillId="5" fontId="12" numFmtId="0" xfId="0" applyAlignment="1" applyBorder="1" applyFont="1">
      <alignment horizontal="center" readingOrder="0" vertical="center"/>
    </xf>
    <xf borderId="13" fillId="10" fontId="12" numFmtId="0" xfId="0" applyAlignment="1" applyBorder="1" applyFont="1">
      <alignment horizontal="center" readingOrder="0" vertical="center"/>
    </xf>
    <xf borderId="9" fillId="28" fontId="7" numFmtId="0" xfId="0" applyAlignment="1" applyBorder="1" applyFill="1" applyFont="1">
      <alignment horizontal="center" readingOrder="0" vertical="center"/>
    </xf>
    <xf borderId="83" fillId="0" fontId="1" numFmtId="166" xfId="0" applyAlignment="1" applyBorder="1" applyFont="1" applyNumberFormat="1">
      <alignment horizontal="center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FEF2F"/>
          <bgColor rgb="FFFFEF2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7F6000"/>
          <bgColor rgb="FF7F6000"/>
        </patternFill>
      </fill>
      <border/>
    </dxf>
  </dxfs>
  <tableStyles count="64">
    <tableStyle count="4" pivot="0" name="Jun26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Jun26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Jun26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Jun26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Repertório-style">
      <tableStyleElement dxfId="8" type="headerRow"/>
      <tableStyleElement dxfId="2" type="firstRowStripe"/>
      <tableStyleElement dxfId="6" type="secondRowStripe"/>
      <tableStyleElement dxfId="3" size="0" type="wholeTable"/>
    </tableStyle>
    <tableStyle count="4" pivot="0" name="Membros e RV-style">
      <tableStyleElement dxfId="9" type="headerRow"/>
      <tableStyleElement dxfId="2" type="firstRowStripe"/>
      <tableStyleElement dxfId="6" type="secondRowStripe"/>
      <tableStyleElement dxfId="3" size="0" type="wholeTable"/>
    </tableStyle>
    <tableStyle count="4" pivot="0" name="Base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Base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Base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Base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Base old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Base old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Base old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Base old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Mai26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Mai26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Mai26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Mai26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Abr26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Abr26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Abr26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Abr26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Mar26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Mar26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Mar26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Mar26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Fev26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Fev26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Fev26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Fev26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Jan26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Jan26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Jan26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Jan26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Dez25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Dez25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Dez25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Dez25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Nov25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Nov25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Nov25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Nov25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Out25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Out25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Out25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Out25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Set25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Set25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Set25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Set25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Ago25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Ago25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Ago25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Ago25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Jul25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Jul25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Jul25-style 3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Jul25-style 4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Jun25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Jun25-style 2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Jun25-style 3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Mai25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Mai25-style 2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Mai25-style 3">
      <tableStyleElement dxfId="5" type="headerRow"/>
      <tableStyleElement dxfId="2" type="firstRowStripe"/>
      <tableStyleElement dxfId="6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1</xdr:row>
      <xdr:rowOff>38100</xdr:rowOff>
    </xdr:from>
    <xdr:ext cx="6124575" cy="2600325"/>
    <xdr:sp>
      <xdr:nvSpPr>
        <xdr:cNvPr id="3" name="Shape 3"/>
        <xdr:cNvSpPr txBox="1"/>
      </xdr:nvSpPr>
      <xdr:spPr>
        <a:xfrm>
          <a:off x="365425" y="436500"/>
          <a:ext cx="6100800" cy="2578500"/>
        </a:xfrm>
        <a:prstGeom prst="rect">
          <a:avLst/>
        </a:prstGeom>
        <a:solidFill>
          <a:srgbClr val="FFE59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Em cada linha podem encontrar os temas cantadas que j</a:t>
          </a:r>
          <a:r>
            <a:rPr lang="en-US" sz="1400"/>
            <a:t>á levamos para as atuações.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Devem escolher o tom em que cantam cada um desses temas, selecionando a opção na dropdown correspondente.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Podem também adicionar mais temas ao fim da tabela, carregando no símbolo ‘+’ por cima do número da última linha da tabela.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drigo Mira" id="{643cbd47-2283-4f5f-bfe6-c72bfbe441f2}" providerId="google-sheets"/>
  <x18tc:person displayName="Rodrigo Mira" id="{c855c61c-f639-4ed7-a58f-5c1059b894dd}" providerId="google-sheets"/>
</x18tc:personList>
</file>

<file path=xl/tables/table1.xml><?xml version="1.0" encoding="utf-8"?>
<table xmlns="http://schemas.openxmlformats.org/spreadsheetml/2006/main" ref="D92:F109" displayName="Tabela3_10" name="Tabela3_10" id="1">
  <tableColumns count="3">
    <tableColumn name="Membros" id="1"/>
    <tableColumn name="Nº Sessões" id="2"/>
    <tableColumn name="Valor a Receber" id="3"/>
  </tableColumns>
  <tableStyleInfo name="Jun26-style" showColumnStripes="0" showFirstColumn="1" showLastColumn="1" showRowStripes="1"/>
</table>
</file>

<file path=xl/tables/table2.xml><?xml version="1.0" encoding="utf-8"?>
<table xmlns="http://schemas.openxmlformats.org/spreadsheetml/2006/main" ref="K92:M109" displayName="Tabela2_10" name="Tabela2_10" id="2">
  <tableColumns count="3">
    <tableColumn name="Membros" id="1"/>
    <tableColumn name="Nº Sessões" id="2"/>
    <tableColumn name="Valor a Receber" id="3"/>
  </tableColumns>
  <tableStyleInfo name="Jun26-style 2" showColumnStripes="0" showFirstColumn="1" showLastColumn="1" showRowStripes="1"/>
</table>
</file>

<file path=xl/tables/table3.xml><?xml version="1.0" encoding="utf-8"?>
<table xmlns="http://schemas.openxmlformats.org/spreadsheetml/2006/main" ref="D114:F117" displayName="Grupos_Académicos_15" name="Grupos_Académicos_15" id="3">
  <tableColumns count="3">
    <tableColumn name="Membros" id="1"/>
    <tableColumn name="Nº Sessões" id="2"/>
    <tableColumn name="Valor a Receber" id="3"/>
  </tableColumns>
  <tableStyleInfo name="Jun26-style 3" showColumnStripes="0" showFirstColumn="1" showLastColumn="1" showRowStripes="1"/>
</table>
</file>

<file path=xl/tables/table4.xml><?xml version="1.0" encoding="utf-8"?>
<table xmlns="http://schemas.openxmlformats.org/spreadsheetml/2006/main" ref="J114:K118" displayName="Valores_Sessão_15" name="Valores_Sessão_15" id="4">
  <tableColumns count="2">
    <tableColumn name="Sessões" id="1"/>
    <tableColumn name="€€€" id="2"/>
  </tableColumns>
  <tableStyleInfo name="Jun26-style 4" showColumnStripes="0" showFirstColumn="1" showLastColumn="1" showRowStripes="1"/>
</table>
</file>

<file path=xl/tables/table5.xml><?xml version="1.0" encoding="utf-8"?>
<table xmlns="http://schemas.openxmlformats.org/spreadsheetml/2006/main" ref="A1:F72" displayName="Repertório" name="Repertório" id="5">
  <tableColumns count="6">
    <tableColumn name="Tarefa" id="1"/>
    <tableColumn name="Mira" id="2"/>
    <tableColumn name="Tuna" id="3"/>
    <tableColumn name="Pablo" id="4"/>
    <tableColumn name="Tavares" id="5"/>
    <tableColumn name="Pipo" id="6"/>
  </tableColumns>
  <tableStyleInfo name="Repertório-style" showColumnStripes="0" showFirstColumn="1" showLastColumn="1" showRowStripes="1"/>
</table>
</file>

<file path=xl/tables/table6.xml><?xml version="1.0" encoding="utf-8"?>
<table xmlns="http://schemas.openxmlformats.org/spreadsheetml/2006/main" ref="A2:G18" displayName="TABELA_DE_MEMBROS" name="TABELA_DE_MEMBROS" id="6">
  <tableColumns count="7">
    <tableColumn name="Membro" id="1"/>
    <tableColumn name="Naipe" id="2"/>
    <tableColumn name="Disponibilidade (preferência)" id="3"/>
    <tableColumn name="Email" id="4"/>
    <tableColumn name="Recibos" id="5"/>
    <tableColumn name="Recibo passado" id="6"/>
    <tableColumn name="Notas" id="7"/>
  </tableColumns>
  <tableStyleInfo name="Membros e RV-style" showColumnStripes="0" showFirstColumn="1" showLastColumn="1" showRowStripes="1"/>
</table>
</file>

<file path=xl/tables/table7.xml><?xml version="1.0" encoding="utf-8"?>
<table xmlns="http://schemas.openxmlformats.org/spreadsheetml/2006/main" ref="D86:F103" displayName="Tabela3_9" name="Tabela3_9" id="7">
  <tableColumns count="3">
    <tableColumn name="Membros" id="1"/>
    <tableColumn name="Nº Sessões" id="2"/>
    <tableColumn name="Valor a Receber" id="3"/>
  </tableColumns>
  <tableStyleInfo name="Base-style" showColumnStripes="0" showFirstColumn="1" showLastColumn="1" showRowStripes="1"/>
</table>
</file>

<file path=xl/tables/table8.xml><?xml version="1.0" encoding="utf-8"?>
<table xmlns="http://schemas.openxmlformats.org/spreadsheetml/2006/main" ref="K86:M103" displayName="Tabela2_9" name="Tabela2_9" id="8">
  <tableColumns count="3">
    <tableColumn name="Membros" id="1"/>
    <tableColumn name="Nº Sessões" id="2"/>
    <tableColumn name="Valor a Receber" id="3"/>
  </tableColumns>
  <tableStyleInfo name="Base-style 2" showColumnStripes="0" showFirstColumn="1" showLastColumn="1" showRowStripes="1"/>
</table>
</file>

<file path=xl/tables/table9.xml><?xml version="1.0" encoding="utf-8"?>
<table xmlns="http://schemas.openxmlformats.org/spreadsheetml/2006/main" ref="D108:F111" displayName="Grupos_Académicos_14" name="Grupos_Académicos_14" id="9">
  <tableColumns count="3">
    <tableColumn name="Membros" id="1"/>
    <tableColumn name="Nº Sessões" id="2"/>
    <tableColumn name="Valor a Receber" id="3"/>
  </tableColumns>
  <tableStyleInfo name="Base-style 3" showColumnStripes="0" showFirstColumn="1" showLastColumn="1" showRowStripes="1"/>
</table>
</file>

<file path=xl/tables/table10.xml><?xml version="1.0" encoding="utf-8"?>
<table xmlns="http://schemas.openxmlformats.org/spreadsheetml/2006/main" ref="J108:K112" displayName="Valores_Sessão_14" name="Valores_Sessão_14" id="10">
  <tableColumns count="2">
    <tableColumn name="Sessões" id="1"/>
    <tableColumn name="€€€" id="2"/>
  </tableColumns>
  <tableStyleInfo name="Base-style 4" showColumnStripes="0" showFirstColumn="1" showLastColumn="1" showRowStripes="1"/>
</table>
</file>

<file path=xl/tables/table11.xml><?xml version="1.0" encoding="utf-8"?>
<table xmlns="http://schemas.openxmlformats.org/spreadsheetml/2006/main" ref="D54:F71" displayName="Tabela3" name="Tabela3" id="11">
  <tableColumns count="3">
    <tableColumn name="Membros" id="1"/>
    <tableColumn name="Nº Sessões" id="2"/>
    <tableColumn name="Valor a Receber" id="3"/>
  </tableColumns>
  <tableStyleInfo name="Base old-style" showColumnStripes="0" showFirstColumn="1" showLastColumn="1" showRowStripes="1"/>
</table>
</file>

<file path=xl/tables/table12.xml><?xml version="1.0" encoding="utf-8"?>
<table xmlns="http://schemas.openxmlformats.org/spreadsheetml/2006/main" ref="K54:M71" displayName="Tabela2" name="Tabela2" id="12">
  <tableColumns count="3">
    <tableColumn name="Membros" id="1"/>
    <tableColumn name="Nº Sessões" id="2"/>
    <tableColumn name="Valor a Receber" id="3"/>
  </tableColumns>
  <tableStyleInfo name="Base old-style 2" showColumnStripes="0" showFirstColumn="1" showLastColumn="1" showRowStripes="1"/>
</table>
</file>

<file path=xl/tables/table13.xml><?xml version="1.0" encoding="utf-8"?>
<table xmlns="http://schemas.openxmlformats.org/spreadsheetml/2006/main" ref="D76:F79" displayName="Grupos_Académicos" name="Grupos_Académicos" id="13">
  <tableColumns count="3">
    <tableColumn name="Membros" id="1"/>
    <tableColumn name="Nº Sessões" id="2"/>
    <tableColumn name="Valor a Receber" id="3"/>
  </tableColumns>
  <tableStyleInfo name="Base old-style 3" showColumnStripes="0" showFirstColumn="1" showLastColumn="1" showRowStripes="1"/>
</table>
</file>

<file path=xl/tables/table14.xml><?xml version="1.0" encoding="utf-8"?>
<table xmlns="http://schemas.openxmlformats.org/spreadsheetml/2006/main" ref="J76:K80" displayName="Valores_Sessão" name="Valores_Sessão" id="14">
  <tableColumns count="2">
    <tableColumn name="Sessões" id="1"/>
    <tableColumn name="€€€" id="2"/>
  </tableColumns>
  <tableStyleInfo name="Base old-style 4" showColumnStripes="0" showFirstColumn="1" showLastColumn="1" showRowStripes="1"/>
</table>
</file>

<file path=xl/tables/table15.xml><?xml version="1.0" encoding="utf-8"?>
<table xmlns="http://schemas.openxmlformats.org/spreadsheetml/2006/main" ref="D90:F110" displayName="Tabela3_11" name="Tabela3_11" id="15">
  <tableColumns count="3">
    <tableColumn name="Membros" id="1"/>
    <tableColumn name="Nº Sessões" id="2"/>
    <tableColumn name="Valor a Receber" id="3"/>
  </tableColumns>
  <tableStyleInfo name="Mai26-style" showColumnStripes="0" showFirstColumn="1" showLastColumn="1" showRowStripes="1"/>
</table>
</file>

<file path=xl/tables/table16.xml><?xml version="1.0" encoding="utf-8"?>
<table xmlns="http://schemas.openxmlformats.org/spreadsheetml/2006/main" ref="L90:N110" displayName="Tabela2_11" name="Tabela2_11" id="16">
  <tableColumns count="3">
    <tableColumn name="Membros" id="1"/>
    <tableColumn name="Nº Sessões" id="2"/>
    <tableColumn name="Valor a Receber" id="3"/>
  </tableColumns>
  <tableStyleInfo name="Mai26-style 2" showColumnStripes="0" showFirstColumn="1" showLastColumn="1" showRowStripes="1"/>
</table>
</file>

<file path=xl/tables/table17.xml><?xml version="1.0" encoding="utf-8"?>
<table xmlns="http://schemas.openxmlformats.org/spreadsheetml/2006/main" ref="D115:F118" displayName="Grupos_Académicos_16" name="Grupos_Académicos_16" id="17">
  <tableColumns count="3">
    <tableColumn name="Membros" id="1"/>
    <tableColumn name="Nº Sessões" id="2"/>
    <tableColumn name="Valor a Receber" id="3"/>
  </tableColumns>
  <tableStyleInfo name="Mai26-style 3" showColumnStripes="0" showFirstColumn="1" showLastColumn="1" showRowStripes="1"/>
</table>
</file>

<file path=xl/tables/table18.xml><?xml version="1.0" encoding="utf-8"?>
<table xmlns="http://schemas.openxmlformats.org/spreadsheetml/2006/main" ref="K115:L119" displayName="Valores_Sessão_16" name="Valores_Sessão_16" id="18">
  <tableColumns count="2">
    <tableColumn name="Sessões" id="1"/>
    <tableColumn name="€€€" id="2"/>
  </tableColumns>
  <tableStyleInfo name="Mai26-style 4" showColumnStripes="0" showFirstColumn="1" showLastColumn="1" showRowStripes="1"/>
</table>
</file>

<file path=xl/tables/table19.xml><?xml version="1.0" encoding="utf-8"?>
<table xmlns="http://schemas.openxmlformats.org/spreadsheetml/2006/main" ref="D85:F102" displayName="Tabela3_7" name="Tabela3_7" id="19">
  <tableColumns count="3">
    <tableColumn name="Membros" id="1"/>
    <tableColumn name="Nº Sessões" id="2"/>
    <tableColumn name="Valor a Receber" id="3"/>
  </tableColumns>
  <tableStyleInfo name="Abr26-style" showColumnStripes="0" showFirstColumn="1" showLastColumn="1" showRowStripes="1"/>
</table>
</file>

<file path=xl/tables/table20.xml><?xml version="1.0" encoding="utf-8"?>
<table xmlns="http://schemas.openxmlformats.org/spreadsheetml/2006/main" ref="K85:M102" displayName="Tabela2_7" name="Tabela2_7" id="20">
  <tableColumns count="3">
    <tableColumn name="Membros" id="1"/>
    <tableColumn name="Nº Sessões" id="2"/>
    <tableColumn name="Valor a Receber" id="3"/>
  </tableColumns>
  <tableStyleInfo name="Abr26-style 2" showColumnStripes="0" showFirstColumn="1" showLastColumn="1" showRowStripes="1"/>
</table>
</file>

<file path=xl/tables/table21.xml><?xml version="1.0" encoding="utf-8"?>
<table xmlns="http://schemas.openxmlformats.org/spreadsheetml/2006/main" ref="D107:F110" displayName="Grupos_Académicos_12" name="Grupos_Académicos_12" id="21">
  <tableColumns count="3">
    <tableColumn name="Membros" id="1"/>
    <tableColumn name="Nº Sessões" id="2"/>
    <tableColumn name="Valor a Receber" id="3"/>
  </tableColumns>
  <tableStyleInfo name="Abr26-style 3" showColumnStripes="0" showFirstColumn="1" showLastColumn="1" showRowStripes="1"/>
</table>
</file>

<file path=xl/tables/table22.xml><?xml version="1.0" encoding="utf-8"?>
<table xmlns="http://schemas.openxmlformats.org/spreadsheetml/2006/main" ref="J107:K111" displayName="Valores_Sessão_12" name="Valores_Sessão_12" id="22">
  <tableColumns count="2">
    <tableColumn name="Sessões" id="1"/>
    <tableColumn name="€€€" id="2"/>
  </tableColumns>
  <tableStyleInfo name="Abr26-style 4" showColumnStripes="0" showFirstColumn="1" showLastColumn="1" showRowStripes="1"/>
</table>
</file>

<file path=xl/tables/table23.xml><?xml version="1.0" encoding="utf-8"?>
<table xmlns="http://schemas.openxmlformats.org/spreadsheetml/2006/main" ref="D65:F82" displayName="Tabela3_8" name="Tabela3_8" id="23">
  <tableColumns count="3">
    <tableColumn name="Membros" id="1"/>
    <tableColumn name="Nº Sessões (20€)" id="2"/>
    <tableColumn name="Valor a Receber" id="3"/>
  </tableColumns>
  <tableStyleInfo name="Mar26-style" showColumnStripes="0" showFirstColumn="1" showLastColumn="1" showRowStripes="1"/>
</table>
</file>

<file path=xl/tables/table24.xml><?xml version="1.0" encoding="utf-8"?>
<table xmlns="http://schemas.openxmlformats.org/spreadsheetml/2006/main" ref="K65:M82" displayName="Tabela2_8" name="Tabela2_8" id="24">
  <tableColumns count="3">
    <tableColumn name="Membros" id="1"/>
    <tableColumn name="Nº Sessões" id="2"/>
    <tableColumn name="Valor a Receber" id="3"/>
  </tableColumns>
  <tableStyleInfo name="Mar26-style 2" showColumnStripes="0" showFirstColumn="1" showLastColumn="1" showRowStripes="1"/>
</table>
</file>

<file path=xl/tables/table25.xml><?xml version="1.0" encoding="utf-8"?>
<table xmlns="http://schemas.openxmlformats.org/spreadsheetml/2006/main" ref="D87:F90" displayName="Grupos_Académicos_13" name="Grupos_Académicos_13" id="25">
  <tableColumns count="3">
    <tableColumn name="Membros" id="1"/>
    <tableColumn name="Nº Sessões" id="2"/>
    <tableColumn name="Valor a Receber" id="3"/>
  </tableColumns>
  <tableStyleInfo name="Mar26-style 3" showColumnStripes="0" showFirstColumn="1" showLastColumn="1" showRowStripes="1"/>
</table>
</file>

<file path=xl/tables/table26.xml><?xml version="1.0" encoding="utf-8"?>
<table xmlns="http://schemas.openxmlformats.org/spreadsheetml/2006/main" ref="J87:K91" displayName="Valores_Sessão_13" name="Valores_Sessão_13" id="26">
  <tableColumns count="2">
    <tableColumn name="Sessões" id="1"/>
    <tableColumn name="€€€" id="2"/>
  </tableColumns>
  <tableStyleInfo name="Mar26-style 4" showColumnStripes="0" showFirstColumn="1" showLastColumn="1" showRowStripes="1"/>
</table>
</file>

<file path=xl/tables/table27.xml><?xml version="1.0" encoding="utf-8"?>
<table xmlns="http://schemas.openxmlformats.org/spreadsheetml/2006/main" ref="D52:F69" displayName="Tabela3_6" name="Tabela3_6" id="27">
  <tableColumns count="3">
    <tableColumn name="Membros" id="1"/>
    <tableColumn name="Nº Sessões" id="2"/>
    <tableColumn name="Valor a Receber" id="3"/>
  </tableColumns>
  <tableStyleInfo name="Fev26-style" showColumnStripes="0" showFirstColumn="1" showLastColumn="1" showRowStripes="1"/>
</table>
</file>

<file path=xl/tables/table28.xml><?xml version="1.0" encoding="utf-8"?>
<table xmlns="http://schemas.openxmlformats.org/spreadsheetml/2006/main" ref="K52:M69" displayName="Tabela2_6" name="Tabela2_6" id="28">
  <tableColumns count="3">
    <tableColumn name="Membros" id="1"/>
    <tableColumn name="Nº Sessões" id="2"/>
    <tableColumn name="Valor a Receber" id="3"/>
  </tableColumns>
  <tableStyleInfo name="Fev26-style 2" showColumnStripes="0" showFirstColumn="1" showLastColumn="1" showRowStripes="1"/>
</table>
</file>

<file path=xl/tables/table29.xml><?xml version="1.0" encoding="utf-8"?>
<table xmlns="http://schemas.openxmlformats.org/spreadsheetml/2006/main" ref="D74:F77" displayName="Grupos_Académicos_11" name="Grupos_Académicos_11" id="29">
  <tableColumns count="3">
    <tableColumn name="Membros" id="1"/>
    <tableColumn name="Nº Sessões" id="2"/>
    <tableColumn name="Valor a Receber" id="3"/>
  </tableColumns>
  <tableStyleInfo name="Fev26-style 3" showColumnStripes="0" showFirstColumn="1" showLastColumn="1" showRowStripes="1"/>
</table>
</file>

<file path=xl/tables/table30.xml><?xml version="1.0" encoding="utf-8"?>
<table xmlns="http://schemas.openxmlformats.org/spreadsheetml/2006/main" ref="J74:K78" displayName="Valores_Sessão_11" name="Valores_Sessão_11" id="30">
  <tableColumns count="2">
    <tableColumn name="Sessões" id="1"/>
    <tableColumn name="€€€" id="2"/>
  </tableColumns>
  <tableStyleInfo name="Fev26-style 4" showColumnStripes="0" showFirstColumn="1" showLastColumn="1" showRowStripes="1"/>
</table>
</file>

<file path=xl/tables/table31.xml><?xml version="1.0" encoding="utf-8"?>
<table xmlns="http://schemas.openxmlformats.org/spreadsheetml/2006/main" ref="D54:F74" displayName="Tabela3_5" name="Tabela3_5" id="31">
  <tableColumns count="3">
    <tableColumn name="Membros" id="1"/>
    <tableColumn name="Nº Sessões" id="2"/>
    <tableColumn name="Valor a Receber" id="3"/>
  </tableColumns>
  <tableStyleInfo name="Jan26-style" showColumnStripes="0" showFirstColumn="1" showLastColumn="1" showRowStripes="1"/>
</table>
</file>

<file path=xl/tables/table32.xml><?xml version="1.0" encoding="utf-8"?>
<table xmlns="http://schemas.openxmlformats.org/spreadsheetml/2006/main" ref="K54:M74" displayName="Tabela2_5" name="Tabela2_5" id="32">
  <tableColumns count="3">
    <tableColumn name="Membros" id="1"/>
    <tableColumn name="Nº Sessões" id="2"/>
    <tableColumn name="Valor a Receber" id="3"/>
  </tableColumns>
  <tableStyleInfo name="Jan26-style 2" showColumnStripes="0" showFirstColumn="1" showLastColumn="1" showRowStripes="1"/>
</table>
</file>

<file path=xl/tables/table33.xml><?xml version="1.0" encoding="utf-8"?>
<table xmlns="http://schemas.openxmlformats.org/spreadsheetml/2006/main" ref="D79:F82" displayName="Grupos_Académicos_10" name="Grupos_Académicos_10" id="33">
  <tableColumns count="3">
    <tableColumn name="Membros" id="1"/>
    <tableColumn name="Nº Sessões" id="2"/>
    <tableColumn name="Valor a Receber" id="3"/>
  </tableColumns>
  <tableStyleInfo name="Jan26-style 3" showColumnStripes="0" showFirstColumn="1" showLastColumn="1" showRowStripes="1"/>
</table>
</file>

<file path=xl/tables/table34.xml><?xml version="1.0" encoding="utf-8"?>
<table xmlns="http://schemas.openxmlformats.org/spreadsheetml/2006/main" ref="J79:K83" displayName="Valores_Sessão_10" name="Valores_Sessão_10" id="34">
  <tableColumns count="2">
    <tableColumn name="Sessões" id="1"/>
    <tableColumn name="€€€" id="2"/>
  </tableColumns>
  <tableStyleInfo name="Jan26-style 4" showColumnStripes="0" showFirstColumn="1" showLastColumn="1" showRowStripes="1"/>
</table>
</file>

<file path=xl/tables/table35.xml><?xml version="1.0" encoding="utf-8"?>
<table xmlns="http://schemas.openxmlformats.org/spreadsheetml/2006/main" ref="D54:F75" displayName="Tabela3_4" name="Tabela3_4" id="35">
  <tableColumns count="3">
    <tableColumn name="Membros" id="1"/>
    <tableColumn name="Nº Sessões" id="2"/>
    <tableColumn name="Valor a Receber" id="3"/>
  </tableColumns>
  <tableStyleInfo name="Dez25-style" showColumnStripes="0" showFirstColumn="1" showLastColumn="1" showRowStripes="1"/>
</table>
</file>

<file path=xl/tables/table36.xml><?xml version="1.0" encoding="utf-8"?>
<table xmlns="http://schemas.openxmlformats.org/spreadsheetml/2006/main" ref="K54:M75" displayName="Tabela2_4" name="Tabela2_4" id="36">
  <tableColumns count="3">
    <tableColumn name="Membros" id="1"/>
    <tableColumn name="Nº Sessões" id="2"/>
    <tableColumn name="Valor a Receber" id="3"/>
  </tableColumns>
  <tableStyleInfo name="Dez25-style 2" showColumnStripes="0" showFirstColumn="1" showLastColumn="1" showRowStripes="1"/>
</table>
</file>

<file path=xl/tables/table37.xml><?xml version="1.0" encoding="utf-8"?>
<table xmlns="http://schemas.openxmlformats.org/spreadsheetml/2006/main" ref="D80:F83" displayName="Grupos_Académicos_9" name="Grupos_Académicos_9" id="37">
  <tableColumns count="3">
    <tableColumn name="Membros" id="1"/>
    <tableColumn name="Nº Sessões" id="2"/>
    <tableColumn name="Valor a Receber" id="3"/>
  </tableColumns>
  <tableStyleInfo name="Dez25-style 3" showColumnStripes="0" showFirstColumn="1" showLastColumn="1" showRowStripes="1"/>
</table>
</file>

<file path=xl/tables/table38.xml><?xml version="1.0" encoding="utf-8"?>
<table xmlns="http://schemas.openxmlformats.org/spreadsheetml/2006/main" ref="J80:K84" displayName="Valores_Sessão_9" name="Valores_Sessão_9" id="38">
  <tableColumns count="2">
    <tableColumn name="Sessões" id="1"/>
    <tableColumn name="€€€" id="2"/>
  </tableColumns>
  <tableStyleInfo name="Dez25-style 4" showColumnStripes="0" showFirstColumn="1" showLastColumn="1" showRowStripes="1"/>
</table>
</file>

<file path=xl/tables/table39.xml><?xml version="1.0" encoding="utf-8"?>
<table xmlns="http://schemas.openxmlformats.org/spreadsheetml/2006/main" ref="D55:F72" displayName="Tabela3_3" name="Tabela3_3" id="39">
  <tableColumns count="3">
    <tableColumn name="Membros" id="1"/>
    <tableColumn name="Nº Sessões" id="2"/>
    <tableColumn name="Valor a Receber" id="3"/>
  </tableColumns>
  <tableStyleInfo name="Nov25-style" showColumnStripes="0" showFirstColumn="1" showLastColumn="1" showRowStripes="1"/>
</table>
</file>

<file path=xl/tables/table40.xml><?xml version="1.0" encoding="utf-8"?>
<table xmlns="http://schemas.openxmlformats.org/spreadsheetml/2006/main" ref="K55:M72" displayName="Tabela2_3" name="Tabela2_3" id="40">
  <tableColumns count="3">
    <tableColumn name="Membros" id="1"/>
    <tableColumn name="Nº Sessões" id="2"/>
    <tableColumn name="Valor a Receber" id="3"/>
  </tableColumns>
  <tableStyleInfo name="Nov25-style 2" showColumnStripes="0" showFirstColumn="1" showLastColumn="1" showRowStripes="1"/>
</table>
</file>

<file path=xl/tables/table41.xml><?xml version="1.0" encoding="utf-8"?>
<table xmlns="http://schemas.openxmlformats.org/spreadsheetml/2006/main" ref="D77:F80" displayName="Grupos_Académicos_8" name="Grupos_Académicos_8" id="41">
  <tableColumns count="3">
    <tableColumn name="Membros" id="1"/>
    <tableColumn name="Nº Sessões" id="2"/>
    <tableColumn name="Valor a Receber" id="3"/>
  </tableColumns>
  <tableStyleInfo name="Nov25-style 3" showColumnStripes="0" showFirstColumn="1" showLastColumn="1" showRowStripes="1"/>
</table>
</file>

<file path=xl/tables/table42.xml><?xml version="1.0" encoding="utf-8"?>
<table xmlns="http://schemas.openxmlformats.org/spreadsheetml/2006/main" ref="J77:K81" displayName="Valores_Sessão_8" name="Valores_Sessão_8" id="42">
  <tableColumns count="2">
    <tableColumn name="Sessões" id="1"/>
    <tableColumn name="€€€" id="2"/>
  </tableColumns>
  <tableStyleInfo name="Nov25-style 4" showColumnStripes="0" showFirstColumn="1" showLastColumn="1" showRowStripes="1"/>
</table>
</file>

<file path=xl/tables/table43.xml><?xml version="1.0" encoding="utf-8"?>
<table xmlns="http://schemas.openxmlformats.org/spreadsheetml/2006/main" ref="D59:F77" displayName="Tabela3_2" name="Tabela3_2" id="43">
  <tableColumns count="3">
    <tableColumn name="Membros" id="1"/>
    <tableColumn name="Nº Sessões" id="2"/>
    <tableColumn name="Valor a Receber" id="3"/>
  </tableColumns>
  <tableStyleInfo name="Out25-style" showColumnStripes="0" showFirstColumn="1" showLastColumn="1" showRowStripes="1"/>
</table>
</file>

<file path=xl/tables/table44.xml><?xml version="1.0" encoding="utf-8"?>
<table xmlns="http://schemas.openxmlformats.org/spreadsheetml/2006/main" ref="K59:M77" displayName="Tabela2_2" name="Tabela2_2" id="44">
  <tableColumns count="3">
    <tableColumn name="Membros" id="1"/>
    <tableColumn name="Nº Sessões" id="2"/>
    <tableColumn name="Valor a Receber" id="3"/>
  </tableColumns>
  <tableStyleInfo name="Out25-style 2" showColumnStripes="0" showFirstColumn="1" showLastColumn="1" showRowStripes="1"/>
</table>
</file>

<file path=xl/tables/table45.xml><?xml version="1.0" encoding="utf-8"?>
<table xmlns="http://schemas.openxmlformats.org/spreadsheetml/2006/main" ref="D82:F85" displayName="Grupos_Académicos_4" name="Grupos_Académicos_4" id="45">
  <tableColumns count="3">
    <tableColumn name="Membros" id="1"/>
    <tableColumn name="Nº Sessões" id="2"/>
    <tableColumn name="Valor a Receber" id="3"/>
  </tableColumns>
  <tableStyleInfo name="Out25-style 3" showColumnStripes="0" showFirstColumn="1" showLastColumn="1" showRowStripes="1"/>
</table>
</file>

<file path=xl/tables/table46.xml><?xml version="1.0" encoding="utf-8"?>
<table xmlns="http://schemas.openxmlformats.org/spreadsheetml/2006/main" ref="J82:K86" displayName="Valores_Sessão_4" name="Valores_Sessão_4" id="46">
  <tableColumns count="2">
    <tableColumn name="Sessões" id="1"/>
    <tableColumn name="€€€" id="2"/>
  </tableColumns>
  <tableStyleInfo name="Out25-style 4" showColumnStripes="0" showFirstColumn="1" showLastColumn="1" showRowStripes="1"/>
</table>
</file>

<file path=xl/tables/table47.xml><?xml version="1.0" encoding="utf-8"?>
<table xmlns="http://schemas.openxmlformats.org/spreadsheetml/2006/main" ref="D57:F74" displayName="Remuneração_6" name="Remuneração_6" id="47">
  <tableColumns count="3">
    <tableColumn name="Membros" id="1"/>
    <tableColumn name="Nº Sessões" id="2"/>
    <tableColumn name="Valor a Receber" id="3"/>
  </tableColumns>
  <tableStyleInfo name="Set25-style" showColumnStripes="0" showFirstColumn="1" showLastColumn="1" showRowStripes="1"/>
</table>
</file>

<file path=xl/tables/table48.xml><?xml version="1.0" encoding="utf-8"?>
<table xmlns="http://schemas.openxmlformats.org/spreadsheetml/2006/main" ref="K57:M74" displayName="Tabela1" name="Tabela1" id="48">
  <tableColumns count="3">
    <tableColumn name="Membros" id="1"/>
    <tableColumn name="Nº Sessões" id="2"/>
    <tableColumn name="Valor a Receber" id="3"/>
  </tableColumns>
  <tableStyleInfo name="Set25-style 2" showColumnStripes="0" showFirstColumn="1" showLastColumn="1" showRowStripes="1"/>
</table>
</file>

<file path=xl/tables/table49.xml><?xml version="1.0" encoding="utf-8"?>
<table xmlns="http://schemas.openxmlformats.org/spreadsheetml/2006/main" ref="D79:F82" displayName="Grupos_Académicos_6" name="Grupos_Académicos_6" id="49">
  <tableColumns count="3">
    <tableColumn name="Membros" id="1"/>
    <tableColumn name="Nº Sessões" id="2"/>
    <tableColumn name="Valor a Receber" id="3"/>
  </tableColumns>
  <tableStyleInfo name="Set25-style 3" showColumnStripes="0" showFirstColumn="1" showLastColumn="1" showRowStripes="1"/>
</table>
</file>

<file path=xl/tables/table50.xml><?xml version="1.0" encoding="utf-8"?>
<table xmlns="http://schemas.openxmlformats.org/spreadsheetml/2006/main" ref="O79:P83" displayName="Valores_Sessão_6" name="Valores_Sessão_6" id="50">
  <tableColumns count="2">
    <tableColumn name="Sessões" id="1"/>
    <tableColumn name="€€€" id="2"/>
  </tableColumns>
  <tableStyleInfo name="Set25-style 4" showColumnStripes="0" showFirstColumn="1" showLastColumn="1" showRowStripes="1"/>
</table>
</file>

<file path=xl/tables/table51.xml><?xml version="1.0" encoding="utf-8"?>
<table xmlns="http://schemas.openxmlformats.org/spreadsheetml/2006/main" ref="D55:F71" displayName="Remuneração_5" name="Remuneração_5" id="51">
  <tableColumns count="3">
    <tableColumn name="Membros" id="1"/>
    <tableColumn name="Nº Sessões" id="2"/>
    <tableColumn name="Valor a Receber" id="3"/>
  </tableColumns>
  <tableStyleInfo name="Ago25-style" showColumnStripes="0" showFirstColumn="1" showLastColumn="1" showRowStripes="1"/>
</table>
</file>

<file path=xl/tables/table52.xml><?xml version="1.0" encoding="utf-8"?>
<table xmlns="http://schemas.openxmlformats.org/spreadsheetml/2006/main" ref="K55:M71" displayName="Remuneração_8" name="Remuneração_8" id="52">
  <tableColumns count="3">
    <tableColumn name="Membros" id="1"/>
    <tableColumn name="Nº Sessões" id="2"/>
    <tableColumn name="Valor a Receber" id="3"/>
  </tableColumns>
  <tableStyleInfo name="Ago25-style 2" showColumnStripes="0" showFirstColumn="1" showLastColumn="1" showRowStripes="1"/>
</table>
</file>

<file path=xl/tables/table53.xml><?xml version="1.0" encoding="utf-8"?>
<table xmlns="http://schemas.openxmlformats.org/spreadsheetml/2006/main" ref="D76:F79" displayName="Grupos_Académicos_5" name="Grupos_Académicos_5" id="53">
  <tableColumns count="3">
    <tableColumn name="Membros" id="1"/>
    <tableColumn name="Nº Sessões" id="2"/>
    <tableColumn name="Valor a Receber" id="3"/>
  </tableColumns>
  <tableStyleInfo name="Ago25-style 3" showColumnStripes="0" showFirstColumn="1" showLastColumn="1" showRowStripes="1"/>
</table>
</file>

<file path=xl/tables/table54.xml><?xml version="1.0" encoding="utf-8"?>
<table xmlns="http://schemas.openxmlformats.org/spreadsheetml/2006/main" ref="J76:K80" displayName="Valores_Sessão_5" name="Valores_Sessão_5" id="54">
  <tableColumns count="2">
    <tableColumn name="Sessões" id="1"/>
    <tableColumn name="€€€" id="2"/>
  </tableColumns>
  <tableStyleInfo name="Ago25-style 4" showColumnStripes="0" showFirstColumn="1" showLastColumn="1" showRowStripes="1"/>
</table>
</file>

<file path=xl/tables/table55.xml><?xml version="1.0" encoding="utf-8"?>
<table xmlns="http://schemas.openxmlformats.org/spreadsheetml/2006/main" ref="D57:F73" displayName="Remuneração_FMP" name="Remuneração_FMP" id="55">
  <tableColumns count="3">
    <tableColumn name="Membros" id="1"/>
    <tableColumn name="Nº Sessões" id="2"/>
    <tableColumn name="Valor a Receber" id="3"/>
  </tableColumns>
  <tableStyleInfo name="Jul25-style" showColumnStripes="0" showFirstColumn="1" showLastColumn="1" showRowStripes="1"/>
</table>
</file>

<file path=xl/tables/table56.xml><?xml version="1.0" encoding="utf-8"?>
<table xmlns="http://schemas.openxmlformats.org/spreadsheetml/2006/main" ref="K57:M73" displayName="Remuneração_Destino" name="Remuneração_Destino" id="56">
  <tableColumns count="3">
    <tableColumn name="Membros" id="1"/>
    <tableColumn name="Nº Sessões" id="2"/>
    <tableColumn name="Valor a Receber" id="3"/>
  </tableColumns>
  <tableStyleInfo name="Jul25-style 2" showColumnStripes="0" showFirstColumn="1" showLastColumn="1" showRowStripes="1"/>
</table>
</file>

<file path=xl/tables/table57.xml><?xml version="1.0" encoding="utf-8"?>
<table xmlns="http://schemas.openxmlformats.org/spreadsheetml/2006/main" ref="D78:F81" displayName="Grupos_Académicos_2" name="Grupos_Académicos_2" id="57">
  <tableColumns count="3">
    <tableColumn name="Membros" id="1"/>
    <tableColumn name="Nº Sessões" id="2"/>
    <tableColumn name="Valor a Receber" id="3"/>
  </tableColumns>
  <tableStyleInfo name="Jul25-style 3" showColumnStripes="0" showFirstColumn="1" showLastColumn="1" showRowStripes="1"/>
</table>
</file>

<file path=xl/tables/table58.xml><?xml version="1.0" encoding="utf-8"?>
<table xmlns="http://schemas.openxmlformats.org/spreadsheetml/2006/main" ref="I78:J80" displayName="Valores_Sessão_2" name="Valores_Sessão_2" id="58">
  <tableColumns count="2">
    <tableColumn name="Sessões" id="1"/>
    <tableColumn name="€€€" id="2"/>
  </tableColumns>
  <tableStyleInfo name="Jul25-style 4" showColumnStripes="0" showFirstColumn="1" showLastColumn="1" showRowStripes="1"/>
</table>
</file>

<file path=xl/tables/table59.xml><?xml version="1.0" encoding="utf-8"?>
<table xmlns="http://schemas.openxmlformats.org/spreadsheetml/2006/main" ref="D56:F73" displayName="Remuneração_3" name="Remuneração_3" id="59">
  <tableColumns count="3">
    <tableColumn name="Membros" id="1"/>
    <tableColumn name="Nº Sessões" id="2"/>
    <tableColumn name="Valor a Receber" id="3"/>
  </tableColumns>
  <tableStyleInfo name="Jun25-style" showColumnStripes="0" showFirstColumn="1" showLastColumn="1" showRowStripes="1"/>
</table>
</file>

<file path=xl/tables/table60.xml><?xml version="1.0" encoding="utf-8"?>
<table xmlns="http://schemas.openxmlformats.org/spreadsheetml/2006/main" ref="D77:F80" displayName="Grupos_Académicos_3" name="Grupos_Académicos_3" id="60">
  <tableColumns count="3">
    <tableColumn name="Membros" id="1"/>
    <tableColumn name="Nº Sessões" id="2"/>
    <tableColumn name="Valor a Receber" id="3"/>
  </tableColumns>
  <tableStyleInfo name="Jun25-style 2" showColumnStripes="0" showFirstColumn="1" showLastColumn="1" showRowStripes="1"/>
</table>
</file>

<file path=xl/tables/table61.xml><?xml version="1.0" encoding="utf-8"?>
<table xmlns="http://schemas.openxmlformats.org/spreadsheetml/2006/main" ref="J77:K81" displayName="Valores_Sessão_3" name="Valores_Sessão_3" id="61">
  <tableColumns count="2">
    <tableColumn name="Sessões" id="1"/>
    <tableColumn name="€€€" id="2"/>
  </tableColumns>
  <tableStyleInfo name="Jun25-style 3" showColumnStripes="0" showFirstColumn="1" showLastColumn="1" showRowStripes="1"/>
</table>
</file>

<file path=xl/tables/table62.xml><?xml version="1.0" encoding="utf-8"?>
<table xmlns="http://schemas.openxmlformats.org/spreadsheetml/2006/main" ref="D60:F76" displayName="Remuneração_7" name="Remuneração_7" id="62">
  <tableColumns count="3">
    <tableColumn name="Membros" id="1"/>
    <tableColumn name="Nº Sessões" id="2"/>
    <tableColumn name="Valor a Receber" id="3"/>
  </tableColumns>
  <tableStyleInfo name="Mai25-style" showColumnStripes="0" showFirstColumn="1" showLastColumn="1" showRowStripes="1"/>
</table>
</file>

<file path=xl/tables/table63.xml><?xml version="1.0" encoding="utf-8"?>
<table xmlns="http://schemas.openxmlformats.org/spreadsheetml/2006/main" ref="D81:F84" displayName="Grupos_Académicos_7" name="Grupos_Académicos_7" id="63">
  <tableColumns count="3">
    <tableColumn name="Membros" id="1"/>
    <tableColumn name="Nº Sessões" id="2"/>
    <tableColumn name="Valor a Receber" id="3"/>
  </tableColumns>
  <tableStyleInfo name="Mai25-style 2" showColumnStripes="0" showFirstColumn="1" showLastColumn="1" showRowStripes="1"/>
</table>
</file>

<file path=xl/tables/table64.xml><?xml version="1.0" encoding="utf-8"?>
<table xmlns="http://schemas.openxmlformats.org/spreadsheetml/2006/main" ref="J81:K85" displayName="Valores_Sessão_7" name="Valores_Sessão_7" id="64">
  <tableColumns count="2">
    <tableColumn name="Sessões" id="1"/>
    <tableColumn name="€€€" id="2"/>
  </tableColumns>
  <tableStyleInfo name="Mai25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" dT="2025-10-29T17:04:22.00" personId="{643cbd47-2283-4f5f-bfe6-c72bfbe441f2}" id="{20a9a2eb-9477-402a-8e74-d3f4c9e88689}" done="1">
    <x18tc:text xml:space="preserve">podem trocar DESTINO x FMP, Prodígio meteu se necessário em ambos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40" dT="2025-08-28T10:44:44.00" personId="{c855c61c-f639-4ed7-a58f-5c1059b894dd}" id="{b87630b8-ddc4-4b44-967a-09e96de2fcff}" done="1">
    <x18tc:text xml:space="preserve">Todos estavam "se necessário" 
Se quiseres fala com o pessoal e vê o que preferes</x18tc:text>
  </x18tc:threadedComment>
  <x18tc:threadedComment ref="M29" dT="2025-08-28T10:44:30.00" personId="{c855c61c-f639-4ed7-a58f-5c1059b894dd}" id="{bcad80af-91bd-4c15-aed3-35b3417cea44}" done="1">
    <x18tc:text xml:space="preserve">Todos estavam "se necessário" 
Se quiseres fala com o pessoal e vê o que preferes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jdjpsorte@gmail.com" TargetMode="External"/><Relationship Id="rId10" Type="http://schemas.openxmlformats.org/officeDocument/2006/relationships/hyperlink" Target="mailto:ruiamericomonte@gmail.com" TargetMode="External"/><Relationship Id="rId13" Type="http://schemas.openxmlformats.org/officeDocument/2006/relationships/hyperlink" Target="mailto:afonsomsilva00@gmail.com" TargetMode="External"/><Relationship Id="rId12" Type="http://schemas.openxmlformats.org/officeDocument/2006/relationships/hyperlink" Target="mailto:eduardojcgon@gmail.com" TargetMode="External"/><Relationship Id="rId1" Type="http://schemas.openxmlformats.org/officeDocument/2006/relationships/hyperlink" Target="mailto:amgmoura15@gmail.com" TargetMode="External"/><Relationship Id="rId2" Type="http://schemas.openxmlformats.org/officeDocument/2006/relationships/hyperlink" Target="mailto:rafaelmqpereira@gmail.com" TargetMode="External"/><Relationship Id="rId3" Type="http://schemas.openxmlformats.org/officeDocument/2006/relationships/hyperlink" Target="mailto:rodmiragomes@gmail.com" TargetMode="External"/><Relationship Id="rId4" Type="http://schemas.openxmlformats.org/officeDocument/2006/relationships/hyperlink" Target="mailto:luisreis.arq@gmail.com" TargetMode="External"/><Relationship Id="rId9" Type="http://schemas.openxmlformats.org/officeDocument/2006/relationships/hyperlink" Target="mailto:heldergiftferreira@gmail.com" TargetMode="External"/><Relationship Id="rId14" Type="http://schemas.openxmlformats.org/officeDocument/2006/relationships/drawing" Target="../drawings/drawing3.xml"/><Relationship Id="rId16" Type="http://schemas.openxmlformats.org/officeDocument/2006/relationships/table" Target="../tables/table6.xml"/><Relationship Id="rId5" Type="http://schemas.openxmlformats.org/officeDocument/2006/relationships/hyperlink" Target="mailto:franciscotava50@gmail.com" TargetMode="External"/><Relationship Id="rId6" Type="http://schemas.openxmlformats.org/officeDocument/2006/relationships/hyperlink" Target="mailto:joseanibalst@gmail.com" TargetMode="External"/><Relationship Id="rId7" Type="http://schemas.openxmlformats.org/officeDocument/2006/relationships/hyperlink" Target="mailto:jotafigs.info@gmail.com" TargetMode="External"/><Relationship Id="rId8" Type="http://schemas.openxmlformats.org/officeDocument/2006/relationships/hyperlink" Target="mailto:j.t.teixeira@hot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14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18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Relationship Id="rId8" Type="http://schemas.openxmlformats.org/officeDocument/2006/relationships/table" Target="../tables/table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22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9" Type="http://schemas.openxmlformats.org/officeDocument/2006/relationships/table" Target="../tables/table26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Relationship Id="rId8" Type="http://schemas.openxmlformats.org/officeDocument/2006/relationships/table" Target="../tables/table2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9" Type="http://schemas.openxmlformats.org/officeDocument/2006/relationships/table" Target="../tables/table30.xml"/><Relationship Id="rId6" Type="http://schemas.openxmlformats.org/officeDocument/2006/relationships/table" Target="../tables/table27.xml"/><Relationship Id="rId7" Type="http://schemas.openxmlformats.org/officeDocument/2006/relationships/table" Target="../tables/table28.xml"/><Relationship Id="rId8" Type="http://schemas.openxmlformats.org/officeDocument/2006/relationships/table" Target="../tables/table2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9" Type="http://schemas.openxmlformats.org/officeDocument/2006/relationships/table" Target="../tables/table34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Relationship Id="rId8" Type="http://schemas.openxmlformats.org/officeDocument/2006/relationships/table" Target="../tables/table3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9" Type="http://schemas.openxmlformats.org/officeDocument/2006/relationships/table" Target="../tables/table38.xml"/><Relationship Id="rId6" Type="http://schemas.openxmlformats.org/officeDocument/2006/relationships/table" Target="../tables/table35.xml"/><Relationship Id="rId7" Type="http://schemas.openxmlformats.org/officeDocument/2006/relationships/table" Target="../tables/table36.xml"/><Relationship Id="rId8" Type="http://schemas.openxmlformats.org/officeDocument/2006/relationships/table" Target="../tables/table37.x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0.xml"/><Relationship Id="rId10" Type="http://schemas.openxmlformats.org/officeDocument/2006/relationships/table" Target="../tables/table39.xml"/><Relationship Id="rId13" Type="http://schemas.openxmlformats.org/officeDocument/2006/relationships/table" Target="../tables/table42.xml"/><Relationship Id="rId12" Type="http://schemas.openxmlformats.org/officeDocument/2006/relationships/table" Target="../tables/table4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46.xml"/><Relationship Id="rId6" Type="http://schemas.openxmlformats.org/officeDocument/2006/relationships/table" Target="../tables/table43.xml"/><Relationship Id="rId7" Type="http://schemas.openxmlformats.org/officeDocument/2006/relationships/table" Target="../tables/table44.xml"/><Relationship Id="rId8" Type="http://schemas.openxmlformats.org/officeDocument/2006/relationships/table" Target="../tables/table45.xm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8.xml"/><Relationship Id="rId10" Type="http://schemas.openxmlformats.org/officeDocument/2006/relationships/table" Target="../tables/table47.xml"/><Relationship Id="rId13" Type="http://schemas.openxmlformats.org/officeDocument/2006/relationships/table" Target="../tables/table50.xml"/><Relationship Id="rId12" Type="http://schemas.openxmlformats.org/officeDocument/2006/relationships/table" Target="../tables/table49.xm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9" Type="http://schemas.openxmlformats.org/officeDocument/2006/relationships/table" Target="../tables/table54.xml"/><Relationship Id="rId6" Type="http://schemas.openxmlformats.org/officeDocument/2006/relationships/table" Target="../tables/table51.xml"/><Relationship Id="rId7" Type="http://schemas.openxmlformats.org/officeDocument/2006/relationships/table" Target="../tables/table52.xml"/><Relationship Id="rId8" Type="http://schemas.openxmlformats.org/officeDocument/2006/relationships/table" Target="../tables/table5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58.xml"/><Relationship Id="rId6" Type="http://schemas.openxmlformats.org/officeDocument/2006/relationships/table" Target="../tables/table55.xml"/><Relationship Id="rId7" Type="http://schemas.openxmlformats.org/officeDocument/2006/relationships/table" Target="../tables/table56.xml"/><Relationship Id="rId8" Type="http://schemas.openxmlformats.org/officeDocument/2006/relationships/table" Target="../tables/table5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5" Type="http://schemas.openxmlformats.org/officeDocument/2006/relationships/table" Target="../tables/table59.xml"/><Relationship Id="rId6" Type="http://schemas.openxmlformats.org/officeDocument/2006/relationships/table" Target="../tables/table60.xml"/><Relationship Id="rId7" Type="http://schemas.openxmlformats.org/officeDocument/2006/relationships/table" Target="../tables/table6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5" Type="http://schemas.openxmlformats.org/officeDocument/2006/relationships/table" Target="../tables/table62.xml"/><Relationship Id="rId6" Type="http://schemas.openxmlformats.org/officeDocument/2006/relationships/table" Target="../tables/table63.xml"/><Relationship Id="rId7" Type="http://schemas.openxmlformats.org/officeDocument/2006/relationships/table" Target="../tables/table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25"/>
    <col customWidth="1" min="13" max="13" width="13.0"/>
    <col customWidth="1" min="14" max="14" width="14.13"/>
  </cols>
  <sheetData>
    <row r="1">
      <c r="A1" s="1" t="s">
        <v>0</v>
      </c>
      <c r="B1" s="2" t="s">
        <v>1</v>
      </c>
    </row>
    <row r="2">
      <c r="A2" s="3"/>
      <c r="B2" s="4" t="s">
        <v>2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10</v>
      </c>
      <c r="J3" s="12"/>
      <c r="K3" s="12"/>
      <c r="L3" s="12"/>
      <c r="M3" s="12"/>
      <c r="N3" s="13"/>
    </row>
    <row r="4">
      <c r="A4" s="14"/>
      <c r="B4" s="15" t="s">
        <v>11</v>
      </c>
      <c r="C4" s="16">
        <v>1.0</v>
      </c>
      <c r="D4" s="17" t="s">
        <v>12</v>
      </c>
      <c r="E4" s="18" t="s">
        <v>13</v>
      </c>
      <c r="F4" s="18" t="s">
        <v>14</v>
      </c>
      <c r="G4" s="19" t="s">
        <v>15</v>
      </c>
      <c r="I4" s="20"/>
      <c r="J4" s="21"/>
      <c r="K4" s="21"/>
      <c r="L4" s="21"/>
      <c r="M4" s="21"/>
      <c r="N4" s="22"/>
    </row>
    <row r="5">
      <c r="A5" s="14"/>
      <c r="B5" s="23"/>
      <c r="C5" s="23"/>
      <c r="D5" s="17" t="s">
        <v>16</v>
      </c>
      <c r="E5" s="18" t="s">
        <v>13</v>
      </c>
      <c r="F5" s="18" t="s">
        <v>14</v>
      </c>
      <c r="G5" s="19" t="s">
        <v>15</v>
      </c>
      <c r="I5" s="20"/>
      <c r="J5" s="21"/>
      <c r="K5" s="21"/>
      <c r="L5" s="21"/>
      <c r="M5" s="21"/>
      <c r="N5" s="22"/>
    </row>
    <row r="6">
      <c r="A6" s="14"/>
      <c r="B6" s="15" t="s">
        <v>17</v>
      </c>
      <c r="C6" s="16">
        <v>2.0</v>
      </c>
      <c r="D6" s="17" t="s">
        <v>12</v>
      </c>
      <c r="E6" s="18" t="s">
        <v>13</v>
      </c>
      <c r="F6" s="18" t="s">
        <v>18</v>
      </c>
      <c r="G6" s="19" t="s">
        <v>19</v>
      </c>
      <c r="I6" s="20"/>
      <c r="J6" s="21"/>
      <c r="K6" s="21"/>
      <c r="L6" s="21"/>
      <c r="M6" s="21"/>
      <c r="N6" s="22"/>
    </row>
    <row r="7">
      <c r="A7" s="14"/>
      <c r="B7" s="24"/>
      <c r="C7" s="24"/>
      <c r="D7" s="17" t="s">
        <v>16</v>
      </c>
      <c r="E7" s="18" t="s">
        <v>13</v>
      </c>
      <c r="F7" s="18" t="s">
        <v>18</v>
      </c>
      <c r="G7" s="19" t="s">
        <v>19</v>
      </c>
      <c r="I7" s="20"/>
      <c r="J7" s="21"/>
      <c r="K7" s="21"/>
      <c r="L7" s="21"/>
      <c r="M7" s="21"/>
      <c r="N7" s="22"/>
    </row>
    <row r="8">
      <c r="A8" s="14"/>
      <c r="B8" s="23"/>
      <c r="C8" s="23"/>
      <c r="D8" s="17" t="s">
        <v>20</v>
      </c>
      <c r="E8" s="18" t="s">
        <v>13</v>
      </c>
      <c r="F8" s="18" t="s">
        <v>18</v>
      </c>
      <c r="G8" s="19" t="s">
        <v>19</v>
      </c>
      <c r="I8" s="20"/>
      <c r="J8" s="21"/>
      <c r="K8" s="21"/>
      <c r="L8" s="21"/>
      <c r="M8" s="21"/>
      <c r="N8" s="22"/>
    </row>
    <row r="9">
      <c r="A9" s="14"/>
      <c r="B9" s="25" t="s">
        <v>21</v>
      </c>
      <c r="C9" s="16">
        <v>3.0</v>
      </c>
      <c r="D9" s="17" t="s">
        <v>12</v>
      </c>
      <c r="E9" s="18" t="s">
        <v>22</v>
      </c>
      <c r="F9" s="19" t="s">
        <v>18</v>
      </c>
      <c r="G9" s="19" t="s">
        <v>19</v>
      </c>
      <c r="I9" s="20"/>
      <c r="J9" s="21"/>
      <c r="K9" s="21"/>
      <c r="L9" s="21"/>
      <c r="M9" s="21"/>
      <c r="N9" s="22"/>
    </row>
    <row r="10">
      <c r="A10" s="14"/>
      <c r="B10" s="24"/>
      <c r="C10" s="24"/>
      <c r="D10" s="17" t="s">
        <v>16</v>
      </c>
      <c r="E10" s="18" t="s">
        <v>22</v>
      </c>
      <c r="F10" s="19" t="s">
        <v>18</v>
      </c>
      <c r="G10" s="19" t="s">
        <v>19</v>
      </c>
      <c r="I10" s="20"/>
      <c r="J10" s="21"/>
      <c r="K10" s="21"/>
      <c r="L10" s="21"/>
      <c r="M10" s="21"/>
      <c r="N10" s="22"/>
    </row>
    <row r="11">
      <c r="A11" s="14"/>
      <c r="B11" s="23"/>
      <c r="C11" s="23"/>
      <c r="D11" s="17" t="s">
        <v>20</v>
      </c>
      <c r="E11" s="18" t="s">
        <v>22</v>
      </c>
      <c r="F11" s="18" t="s">
        <v>18</v>
      </c>
      <c r="G11" s="19" t="s">
        <v>19</v>
      </c>
      <c r="I11" s="20"/>
      <c r="J11" s="21"/>
      <c r="K11" s="21"/>
      <c r="L11" s="21"/>
      <c r="M11" s="21"/>
      <c r="N11" s="22"/>
    </row>
    <row r="12">
      <c r="A12" s="14"/>
      <c r="B12" s="15" t="s">
        <v>23</v>
      </c>
      <c r="C12" s="16">
        <v>4.0</v>
      </c>
      <c r="D12" s="17" t="s">
        <v>12</v>
      </c>
      <c r="E12" s="18" t="s">
        <v>13</v>
      </c>
      <c r="F12" s="18" t="s">
        <v>14</v>
      </c>
      <c r="G12" s="19" t="s">
        <v>24</v>
      </c>
      <c r="I12" s="20"/>
      <c r="J12" s="21"/>
      <c r="K12" s="21"/>
      <c r="L12" s="21"/>
      <c r="M12" s="21"/>
      <c r="N12" s="22"/>
    </row>
    <row r="13">
      <c r="A13" s="14"/>
      <c r="B13" s="23"/>
      <c r="C13" s="23"/>
      <c r="D13" s="17" t="s">
        <v>16</v>
      </c>
      <c r="E13" s="18" t="s">
        <v>13</v>
      </c>
      <c r="F13" s="18" t="s">
        <v>14</v>
      </c>
      <c r="G13" s="19" t="s">
        <v>24</v>
      </c>
      <c r="I13" s="20"/>
      <c r="J13" s="21"/>
      <c r="K13" s="21"/>
      <c r="L13" s="21"/>
      <c r="M13" s="21"/>
      <c r="N13" s="22"/>
    </row>
    <row r="14">
      <c r="A14" s="14"/>
      <c r="B14" s="25" t="s">
        <v>25</v>
      </c>
      <c r="C14" s="26">
        <v>5.0</v>
      </c>
      <c r="D14" s="17" t="s">
        <v>12</v>
      </c>
      <c r="E14" s="18" t="s">
        <v>13</v>
      </c>
      <c r="F14" s="19" t="s">
        <v>26</v>
      </c>
      <c r="G14" s="19" t="s">
        <v>19</v>
      </c>
      <c r="I14" s="27" t="s">
        <v>25</v>
      </c>
      <c r="J14" s="28">
        <v>5.0</v>
      </c>
      <c r="K14" s="29" t="s">
        <v>27</v>
      </c>
      <c r="L14" s="30" t="s">
        <v>28</v>
      </c>
      <c r="M14" s="30" t="s">
        <v>28</v>
      </c>
      <c r="N14" s="31" t="s">
        <v>28</v>
      </c>
    </row>
    <row r="15">
      <c r="A15" s="14"/>
      <c r="B15" s="24"/>
      <c r="C15" s="24"/>
      <c r="D15" s="17" t="s">
        <v>16</v>
      </c>
      <c r="E15" s="18" t="s">
        <v>13</v>
      </c>
      <c r="F15" s="19" t="s">
        <v>26</v>
      </c>
      <c r="G15" s="18" t="s">
        <v>19</v>
      </c>
      <c r="I15" s="32"/>
      <c r="J15" s="33"/>
      <c r="K15" s="34"/>
      <c r="L15" s="30"/>
      <c r="M15" s="35"/>
      <c r="N15" s="36"/>
    </row>
    <row r="16">
      <c r="A16" s="14"/>
      <c r="B16" s="23"/>
      <c r="C16" s="23"/>
      <c r="D16" s="17" t="s">
        <v>20</v>
      </c>
      <c r="E16" s="18" t="s">
        <v>13</v>
      </c>
      <c r="F16" s="19" t="s">
        <v>26</v>
      </c>
      <c r="G16" s="19" t="s">
        <v>19</v>
      </c>
      <c r="I16" s="37"/>
      <c r="J16" s="38"/>
      <c r="K16" s="39"/>
      <c r="L16" s="40"/>
      <c r="M16" s="41"/>
      <c r="N16" s="42"/>
    </row>
    <row r="17">
      <c r="A17" s="14"/>
      <c r="B17" s="25" t="s">
        <v>29</v>
      </c>
      <c r="C17" s="26">
        <v>6.0</v>
      </c>
      <c r="D17" s="17" t="s">
        <v>12</v>
      </c>
      <c r="E17" s="18" t="s">
        <v>30</v>
      </c>
      <c r="F17" s="19" t="s">
        <v>18</v>
      </c>
      <c r="G17" s="19" t="s">
        <v>19</v>
      </c>
      <c r="I17" s="27" t="s">
        <v>29</v>
      </c>
      <c r="J17" s="43">
        <v>6.0</v>
      </c>
      <c r="K17" s="44" t="s">
        <v>27</v>
      </c>
      <c r="L17" s="30" t="s">
        <v>28</v>
      </c>
      <c r="M17" s="30" t="s">
        <v>28</v>
      </c>
      <c r="N17" s="31" t="s">
        <v>28</v>
      </c>
    </row>
    <row r="18">
      <c r="A18" s="14"/>
      <c r="B18" s="24"/>
      <c r="C18" s="24"/>
      <c r="D18" s="17" t="s">
        <v>16</v>
      </c>
      <c r="E18" s="18" t="s">
        <v>30</v>
      </c>
      <c r="F18" s="19" t="s">
        <v>18</v>
      </c>
      <c r="G18" s="18" t="s">
        <v>19</v>
      </c>
      <c r="I18" s="32"/>
      <c r="J18" s="34"/>
      <c r="K18" s="45"/>
      <c r="L18" s="30"/>
      <c r="M18" s="35"/>
      <c r="N18" s="36"/>
    </row>
    <row r="19">
      <c r="A19" s="14"/>
      <c r="B19" s="23"/>
      <c r="C19" s="23"/>
      <c r="D19" s="17" t="s">
        <v>20</v>
      </c>
      <c r="E19" s="18" t="s">
        <v>30</v>
      </c>
      <c r="F19" s="19" t="s">
        <v>18</v>
      </c>
      <c r="G19" s="19" t="s">
        <v>19</v>
      </c>
      <c r="I19" s="20"/>
      <c r="J19" s="21"/>
      <c r="K19" s="21"/>
      <c r="L19" s="21"/>
      <c r="M19" s="21"/>
      <c r="N19" s="22"/>
    </row>
    <row r="20">
      <c r="A20" s="14"/>
      <c r="B20" s="25" t="s">
        <v>31</v>
      </c>
      <c r="C20" s="26">
        <v>7.0</v>
      </c>
      <c r="D20" s="17" t="s">
        <v>12</v>
      </c>
      <c r="E20" s="18" t="s">
        <v>13</v>
      </c>
      <c r="F20" s="19" t="s">
        <v>18</v>
      </c>
      <c r="G20" s="19" t="s">
        <v>19</v>
      </c>
      <c r="I20" s="27" t="s">
        <v>31</v>
      </c>
      <c r="J20" s="46">
        <v>7.0</v>
      </c>
      <c r="K20" s="44" t="s">
        <v>27</v>
      </c>
      <c r="L20" s="47" t="s">
        <v>30</v>
      </c>
      <c r="M20" s="47" t="s">
        <v>14</v>
      </c>
      <c r="N20" s="48" t="s">
        <v>19</v>
      </c>
    </row>
    <row r="21">
      <c r="A21" s="14"/>
      <c r="B21" s="24"/>
      <c r="C21" s="24"/>
      <c r="D21" s="17" t="s">
        <v>16</v>
      </c>
      <c r="E21" s="18" t="s">
        <v>13</v>
      </c>
      <c r="F21" s="19" t="s">
        <v>18</v>
      </c>
      <c r="G21" s="18" t="s">
        <v>24</v>
      </c>
      <c r="I21" s="32"/>
      <c r="J21" s="45"/>
      <c r="K21" s="45"/>
      <c r="L21" s="30"/>
      <c r="M21" s="35"/>
      <c r="N21" s="36"/>
    </row>
    <row r="22">
      <c r="A22" s="14"/>
      <c r="B22" s="23"/>
      <c r="C22" s="23"/>
      <c r="D22" s="17" t="s">
        <v>20</v>
      </c>
      <c r="E22" s="18" t="s">
        <v>13</v>
      </c>
      <c r="F22" s="19" t="s">
        <v>18</v>
      </c>
      <c r="G22" s="19" t="s">
        <v>19</v>
      </c>
      <c r="I22" s="20"/>
      <c r="J22" s="21"/>
      <c r="K22" s="21"/>
      <c r="L22" s="21"/>
      <c r="M22" s="21"/>
      <c r="N22" s="22"/>
    </row>
    <row r="23">
      <c r="A23" s="14"/>
      <c r="B23" s="15" t="s">
        <v>11</v>
      </c>
      <c r="C23" s="16">
        <v>8.0</v>
      </c>
      <c r="D23" s="17" t="s">
        <v>12</v>
      </c>
      <c r="E23" s="18" t="s">
        <v>22</v>
      </c>
      <c r="F23" s="19" t="s">
        <v>14</v>
      </c>
      <c r="G23" s="19" t="s">
        <v>19</v>
      </c>
      <c r="I23" s="20"/>
      <c r="J23" s="21"/>
      <c r="K23" s="21"/>
      <c r="L23" s="21"/>
      <c r="M23" s="21"/>
      <c r="N23" s="22"/>
    </row>
    <row r="24">
      <c r="A24" s="14"/>
      <c r="B24" s="23"/>
      <c r="C24" s="23"/>
      <c r="D24" s="17" t="s">
        <v>16</v>
      </c>
      <c r="E24" s="18" t="s">
        <v>22</v>
      </c>
      <c r="F24" s="19" t="s">
        <v>14</v>
      </c>
      <c r="G24" s="19" t="s">
        <v>19</v>
      </c>
      <c r="I24" s="20"/>
      <c r="J24" s="21"/>
      <c r="K24" s="21"/>
      <c r="L24" s="21"/>
      <c r="M24" s="21"/>
      <c r="N24" s="22"/>
    </row>
    <row r="25">
      <c r="A25" s="14"/>
      <c r="B25" s="15" t="s">
        <v>17</v>
      </c>
      <c r="C25" s="16">
        <v>9.0</v>
      </c>
      <c r="D25" s="17" t="s">
        <v>32</v>
      </c>
      <c r="E25" s="18" t="s">
        <v>33</v>
      </c>
      <c r="F25" s="18" t="s">
        <v>14</v>
      </c>
      <c r="G25" s="18" t="s">
        <v>19</v>
      </c>
      <c r="I25" s="20"/>
      <c r="J25" s="21"/>
      <c r="K25" s="21"/>
      <c r="L25" s="21"/>
      <c r="M25" s="21"/>
      <c r="N25" s="22"/>
    </row>
    <row r="26">
      <c r="A26" s="14"/>
      <c r="B26" s="24"/>
      <c r="C26" s="24"/>
      <c r="D26" s="17" t="s">
        <v>12</v>
      </c>
      <c r="E26" s="18" t="s">
        <v>13</v>
      </c>
      <c r="F26" s="19" t="s">
        <v>14</v>
      </c>
      <c r="G26" s="19" t="s">
        <v>19</v>
      </c>
      <c r="I26" s="20"/>
      <c r="J26" s="21"/>
      <c r="K26" s="21"/>
      <c r="L26" s="21"/>
      <c r="M26" s="21"/>
      <c r="N26" s="22"/>
    </row>
    <row r="27">
      <c r="A27" s="14"/>
      <c r="B27" s="23"/>
      <c r="C27" s="23"/>
      <c r="D27" s="17" t="s">
        <v>16</v>
      </c>
      <c r="E27" s="18" t="s">
        <v>30</v>
      </c>
      <c r="F27" s="19" t="s">
        <v>14</v>
      </c>
      <c r="G27" s="19" t="s">
        <v>19</v>
      </c>
      <c r="I27" s="20"/>
      <c r="J27" s="21"/>
      <c r="K27" s="21"/>
      <c r="L27" s="21"/>
      <c r="M27" s="21"/>
      <c r="N27" s="22"/>
    </row>
    <row r="28">
      <c r="A28" s="14"/>
      <c r="B28" s="25" t="s">
        <v>21</v>
      </c>
      <c r="C28" s="16">
        <v>10.0</v>
      </c>
      <c r="D28" s="17" t="s">
        <v>12</v>
      </c>
      <c r="E28" s="18" t="s">
        <v>22</v>
      </c>
      <c r="F28" s="18" t="s">
        <v>26</v>
      </c>
      <c r="G28" s="19" t="s">
        <v>19</v>
      </c>
      <c r="I28" s="20"/>
      <c r="J28" s="21"/>
      <c r="K28" s="21"/>
      <c r="L28" s="21"/>
      <c r="M28" s="21"/>
      <c r="N28" s="22"/>
    </row>
    <row r="29">
      <c r="A29" s="14"/>
      <c r="B29" s="24"/>
      <c r="C29" s="24"/>
      <c r="D29" s="17" t="s">
        <v>16</v>
      </c>
      <c r="E29" s="18" t="s">
        <v>22</v>
      </c>
      <c r="F29" s="18" t="s">
        <v>26</v>
      </c>
      <c r="G29" s="19" t="s">
        <v>19</v>
      </c>
      <c r="I29" s="20"/>
      <c r="J29" s="21"/>
      <c r="K29" s="21"/>
      <c r="L29" s="21"/>
      <c r="M29" s="21"/>
      <c r="N29" s="22"/>
    </row>
    <row r="30">
      <c r="A30" s="14"/>
      <c r="B30" s="23"/>
      <c r="C30" s="23"/>
      <c r="D30" s="17" t="s">
        <v>20</v>
      </c>
      <c r="E30" s="18" t="s">
        <v>22</v>
      </c>
      <c r="F30" s="19" t="s">
        <v>14</v>
      </c>
      <c r="G30" s="19" t="s">
        <v>19</v>
      </c>
      <c r="I30" s="20"/>
      <c r="J30" s="21"/>
      <c r="K30" s="21"/>
      <c r="L30" s="21"/>
      <c r="M30" s="21"/>
      <c r="N30" s="22"/>
    </row>
    <row r="31">
      <c r="A31" s="14"/>
      <c r="B31" s="15" t="s">
        <v>23</v>
      </c>
      <c r="C31" s="16">
        <v>11.0</v>
      </c>
      <c r="D31" s="17" t="s">
        <v>12</v>
      </c>
      <c r="E31" s="18" t="s">
        <v>13</v>
      </c>
      <c r="F31" s="19" t="s">
        <v>14</v>
      </c>
      <c r="G31" s="19" t="s">
        <v>19</v>
      </c>
      <c r="I31" s="20"/>
      <c r="J31" s="21"/>
      <c r="K31" s="21"/>
      <c r="L31" s="21"/>
      <c r="M31" s="21"/>
      <c r="N31" s="22"/>
    </row>
    <row r="32">
      <c r="A32" s="14"/>
      <c r="B32" s="23"/>
      <c r="C32" s="23"/>
      <c r="D32" s="17" t="s">
        <v>16</v>
      </c>
      <c r="E32" s="18" t="s">
        <v>30</v>
      </c>
      <c r="F32" s="19" t="s">
        <v>14</v>
      </c>
      <c r="G32" s="19" t="s">
        <v>19</v>
      </c>
      <c r="I32" s="20"/>
      <c r="J32" s="21"/>
      <c r="K32" s="21"/>
      <c r="L32" s="21"/>
      <c r="M32" s="21"/>
      <c r="N32" s="22"/>
    </row>
    <row r="33">
      <c r="A33" s="14"/>
      <c r="B33" s="25" t="s">
        <v>25</v>
      </c>
      <c r="C33" s="26">
        <v>12.0</v>
      </c>
      <c r="D33" s="17" t="s">
        <v>12</v>
      </c>
      <c r="E33" s="18" t="s">
        <v>13</v>
      </c>
      <c r="F33" s="19" t="s">
        <v>34</v>
      </c>
      <c r="G33" s="18" t="s">
        <v>15</v>
      </c>
      <c r="I33" s="27" t="s">
        <v>25</v>
      </c>
      <c r="J33" s="28">
        <v>12.0</v>
      </c>
      <c r="K33" s="29" t="s">
        <v>27</v>
      </c>
      <c r="L33" s="47" t="s">
        <v>30</v>
      </c>
      <c r="M33" s="30" t="s">
        <v>28</v>
      </c>
      <c r="N33" s="31" t="s">
        <v>15</v>
      </c>
    </row>
    <row r="34">
      <c r="A34" s="14"/>
      <c r="B34" s="24"/>
      <c r="C34" s="24"/>
      <c r="D34" s="17" t="s">
        <v>16</v>
      </c>
      <c r="E34" s="18" t="s">
        <v>13</v>
      </c>
      <c r="F34" s="19" t="s">
        <v>34</v>
      </c>
      <c r="G34" s="18" t="s">
        <v>19</v>
      </c>
      <c r="I34" s="32"/>
      <c r="J34" s="33"/>
      <c r="K34" s="34"/>
      <c r="L34" s="30"/>
      <c r="M34" s="35"/>
      <c r="N34" s="36"/>
    </row>
    <row r="35">
      <c r="A35" s="14"/>
      <c r="B35" s="23"/>
      <c r="C35" s="23"/>
      <c r="D35" s="17" t="s">
        <v>20</v>
      </c>
      <c r="E35" s="18" t="s">
        <v>30</v>
      </c>
      <c r="F35" s="19" t="s">
        <v>34</v>
      </c>
      <c r="G35" s="18" t="s">
        <v>19</v>
      </c>
      <c r="I35" s="20"/>
      <c r="J35" s="21"/>
      <c r="K35" s="21"/>
      <c r="L35" s="40"/>
      <c r="M35" s="21"/>
      <c r="N35" s="22"/>
    </row>
    <row r="36">
      <c r="A36" s="14"/>
      <c r="B36" s="25" t="s">
        <v>29</v>
      </c>
      <c r="C36" s="26">
        <v>13.0</v>
      </c>
      <c r="D36" s="17" t="s">
        <v>12</v>
      </c>
      <c r="E36" s="19" t="s">
        <v>30</v>
      </c>
      <c r="F36" s="18" t="s">
        <v>35</v>
      </c>
      <c r="G36" s="18" t="s">
        <v>15</v>
      </c>
      <c r="I36" s="27" t="s">
        <v>29</v>
      </c>
      <c r="J36" s="43">
        <v>13.0</v>
      </c>
      <c r="K36" s="44" t="s">
        <v>27</v>
      </c>
      <c r="L36" s="47" t="s">
        <v>28</v>
      </c>
      <c r="M36" s="47" t="s">
        <v>28</v>
      </c>
      <c r="N36" s="31" t="s">
        <v>28</v>
      </c>
    </row>
    <row r="37">
      <c r="A37" s="14"/>
      <c r="B37" s="24"/>
      <c r="C37" s="24"/>
      <c r="D37" s="17" t="s">
        <v>16</v>
      </c>
      <c r="E37" s="18" t="s">
        <v>30</v>
      </c>
      <c r="F37" s="18" t="s">
        <v>35</v>
      </c>
      <c r="G37" s="18" t="s">
        <v>15</v>
      </c>
      <c r="I37" s="32"/>
      <c r="J37" s="34"/>
      <c r="K37" s="45"/>
      <c r="L37" s="30"/>
      <c r="M37" s="35"/>
      <c r="N37" s="36"/>
    </row>
    <row r="38">
      <c r="A38" s="14"/>
      <c r="B38" s="23"/>
      <c r="C38" s="23"/>
      <c r="D38" s="17" t="s">
        <v>20</v>
      </c>
      <c r="E38" s="19" t="s">
        <v>30</v>
      </c>
      <c r="F38" s="18" t="s">
        <v>35</v>
      </c>
      <c r="G38" s="18" t="s">
        <v>19</v>
      </c>
      <c r="I38" s="20"/>
      <c r="J38" s="21"/>
      <c r="K38" s="21"/>
      <c r="L38" s="21"/>
      <c r="M38" s="21"/>
      <c r="N38" s="22"/>
    </row>
    <row r="39">
      <c r="A39" s="14"/>
      <c r="B39" s="25" t="s">
        <v>31</v>
      </c>
      <c r="C39" s="26">
        <v>14.0</v>
      </c>
      <c r="D39" s="17" t="s">
        <v>12</v>
      </c>
      <c r="E39" s="18" t="s">
        <v>30</v>
      </c>
      <c r="F39" s="18" t="s">
        <v>34</v>
      </c>
      <c r="G39" s="18" t="s">
        <v>19</v>
      </c>
      <c r="I39" s="27" t="s">
        <v>31</v>
      </c>
      <c r="J39" s="46">
        <v>14.0</v>
      </c>
      <c r="K39" s="44" t="s">
        <v>27</v>
      </c>
      <c r="L39" s="47" t="s">
        <v>30</v>
      </c>
      <c r="M39" s="47" t="s">
        <v>14</v>
      </c>
      <c r="N39" s="31" t="s">
        <v>15</v>
      </c>
    </row>
    <row r="40">
      <c r="A40" s="14"/>
      <c r="B40" s="24"/>
      <c r="C40" s="24"/>
      <c r="D40" s="17" t="s">
        <v>16</v>
      </c>
      <c r="E40" s="18" t="s">
        <v>22</v>
      </c>
      <c r="F40" s="18" t="s">
        <v>34</v>
      </c>
      <c r="G40" s="18" t="s">
        <v>19</v>
      </c>
      <c r="I40" s="32"/>
      <c r="J40" s="45"/>
      <c r="K40" s="45"/>
      <c r="L40" s="30"/>
      <c r="M40" s="35"/>
      <c r="N40" s="36"/>
    </row>
    <row r="41">
      <c r="A41" s="14"/>
      <c r="B41" s="23"/>
      <c r="C41" s="23"/>
      <c r="D41" s="17" t="s">
        <v>20</v>
      </c>
      <c r="E41" s="18" t="s">
        <v>22</v>
      </c>
      <c r="F41" s="18" t="s">
        <v>34</v>
      </c>
      <c r="G41" s="18" t="s">
        <v>15</v>
      </c>
      <c r="I41" s="20"/>
      <c r="J41" s="21"/>
      <c r="K41" s="21"/>
      <c r="L41" s="21"/>
      <c r="M41" s="21"/>
      <c r="N41" s="22"/>
    </row>
    <row r="42">
      <c r="A42" s="14"/>
      <c r="B42" s="15" t="s">
        <v>11</v>
      </c>
      <c r="C42" s="16">
        <v>15.0</v>
      </c>
      <c r="D42" s="17" t="s">
        <v>12</v>
      </c>
      <c r="E42" s="19" t="s">
        <v>13</v>
      </c>
      <c r="F42" s="19" t="s">
        <v>14</v>
      </c>
      <c r="G42" s="18" t="s">
        <v>19</v>
      </c>
      <c r="I42" s="20"/>
      <c r="J42" s="21"/>
      <c r="K42" s="21"/>
      <c r="L42" s="21"/>
      <c r="M42" s="21"/>
      <c r="N42" s="22"/>
    </row>
    <row r="43">
      <c r="A43" s="14"/>
      <c r="B43" s="23"/>
      <c r="C43" s="23"/>
      <c r="D43" s="17" t="s">
        <v>16</v>
      </c>
      <c r="E43" s="18" t="s">
        <v>30</v>
      </c>
      <c r="F43" s="19" t="s">
        <v>14</v>
      </c>
      <c r="G43" s="18" t="s">
        <v>19</v>
      </c>
      <c r="I43" s="20"/>
      <c r="J43" s="21"/>
      <c r="K43" s="21"/>
      <c r="L43" s="21"/>
      <c r="M43" s="21"/>
      <c r="N43" s="22"/>
    </row>
    <row r="44">
      <c r="A44" s="14"/>
      <c r="B44" s="15" t="s">
        <v>17</v>
      </c>
      <c r="C44" s="16">
        <v>16.0</v>
      </c>
      <c r="D44" s="17" t="s">
        <v>12</v>
      </c>
      <c r="E44" s="18" t="s">
        <v>13</v>
      </c>
      <c r="F44" s="18" t="s">
        <v>35</v>
      </c>
      <c r="G44" s="18" t="s">
        <v>15</v>
      </c>
      <c r="I44" s="20"/>
      <c r="J44" s="21"/>
      <c r="K44" s="21"/>
      <c r="L44" s="21"/>
      <c r="M44" s="21"/>
      <c r="N44" s="22"/>
    </row>
    <row r="45">
      <c r="A45" s="14"/>
      <c r="B45" s="23"/>
      <c r="C45" s="23"/>
      <c r="D45" s="17" t="s">
        <v>16</v>
      </c>
      <c r="E45" s="18" t="s">
        <v>13</v>
      </c>
      <c r="F45" s="18" t="s">
        <v>35</v>
      </c>
      <c r="G45" s="18" t="s">
        <v>15</v>
      </c>
      <c r="I45" s="20"/>
      <c r="J45" s="21"/>
      <c r="K45" s="21"/>
      <c r="L45" s="21"/>
      <c r="M45" s="21"/>
      <c r="N45" s="22"/>
    </row>
    <row r="46">
      <c r="A46" s="14"/>
      <c r="B46" s="25" t="s">
        <v>21</v>
      </c>
      <c r="C46" s="16">
        <v>17.0</v>
      </c>
      <c r="D46" s="17" t="s">
        <v>12</v>
      </c>
      <c r="E46" s="18" t="s">
        <v>13</v>
      </c>
      <c r="F46" s="18" t="s">
        <v>26</v>
      </c>
      <c r="G46" s="18" t="s">
        <v>15</v>
      </c>
      <c r="I46" s="20"/>
      <c r="J46" s="21"/>
      <c r="K46" s="21"/>
      <c r="L46" s="21"/>
      <c r="M46" s="21"/>
      <c r="N46" s="22"/>
    </row>
    <row r="47">
      <c r="A47" s="14"/>
      <c r="B47" s="24"/>
      <c r="C47" s="24"/>
      <c r="D47" s="17" t="s">
        <v>16</v>
      </c>
      <c r="E47" s="18" t="s">
        <v>30</v>
      </c>
      <c r="F47" s="18" t="s">
        <v>26</v>
      </c>
      <c r="G47" s="18" t="s">
        <v>15</v>
      </c>
      <c r="I47" s="20"/>
      <c r="J47" s="21"/>
      <c r="K47" s="21"/>
      <c r="L47" s="21"/>
      <c r="M47" s="21"/>
      <c r="N47" s="22"/>
    </row>
    <row r="48">
      <c r="A48" s="14"/>
      <c r="B48" s="23"/>
      <c r="C48" s="23"/>
      <c r="D48" s="17" t="s">
        <v>20</v>
      </c>
      <c r="E48" s="18" t="s">
        <v>30</v>
      </c>
      <c r="F48" s="19" t="s">
        <v>14</v>
      </c>
      <c r="G48" s="19" t="s">
        <v>19</v>
      </c>
      <c r="I48" s="20"/>
      <c r="J48" s="21"/>
      <c r="K48" s="21"/>
      <c r="L48" s="21"/>
      <c r="M48" s="21"/>
      <c r="N48" s="22"/>
    </row>
    <row r="49">
      <c r="A49" s="14"/>
      <c r="B49" s="15" t="s">
        <v>23</v>
      </c>
      <c r="C49" s="16">
        <v>18.0</v>
      </c>
      <c r="D49" s="17" t="s">
        <v>12</v>
      </c>
      <c r="E49" s="18" t="s">
        <v>22</v>
      </c>
      <c r="F49" s="19" t="s">
        <v>14</v>
      </c>
      <c r="G49" s="18" t="s">
        <v>15</v>
      </c>
      <c r="I49" s="20"/>
      <c r="J49" s="21"/>
      <c r="K49" s="21"/>
      <c r="L49" s="21"/>
      <c r="M49" s="21"/>
      <c r="N49" s="22"/>
    </row>
    <row r="50">
      <c r="A50" s="14"/>
      <c r="B50" s="23"/>
      <c r="C50" s="23"/>
      <c r="D50" s="17" t="s">
        <v>16</v>
      </c>
      <c r="E50" s="18" t="s">
        <v>22</v>
      </c>
      <c r="F50" s="19" t="s">
        <v>14</v>
      </c>
      <c r="G50" s="18" t="s">
        <v>19</v>
      </c>
      <c r="I50" s="20"/>
      <c r="J50" s="21"/>
      <c r="K50" s="21"/>
      <c r="L50" s="21"/>
      <c r="M50" s="21"/>
      <c r="N50" s="22"/>
    </row>
    <row r="51">
      <c r="A51" s="14"/>
      <c r="B51" s="25" t="s">
        <v>25</v>
      </c>
      <c r="C51" s="26">
        <v>19.0</v>
      </c>
      <c r="D51" s="17" t="s">
        <v>12</v>
      </c>
      <c r="E51" s="18" t="s">
        <v>13</v>
      </c>
      <c r="F51" s="19" t="s">
        <v>34</v>
      </c>
      <c r="G51" s="18" t="s">
        <v>15</v>
      </c>
      <c r="I51" s="27" t="s">
        <v>25</v>
      </c>
      <c r="J51" s="28">
        <v>19.0</v>
      </c>
      <c r="K51" s="29" t="s">
        <v>27</v>
      </c>
      <c r="L51" s="30" t="s">
        <v>22</v>
      </c>
      <c r="M51" s="30" t="s">
        <v>28</v>
      </c>
      <c r="N51" s="31" t="s">
        <v>19</v>
      </c>
    </row>
    <row r="52">
      <c r="A52" s="14"/>
      <c r="B52" s="24"/>
      <c r="C52" s="24"/>
      <c r="D52" s="17" t="s">
        <v>16</v>
      </c>
      <c r="E52" s="18" t="s">
        <v>30</v>
      </c>
      <c r="F52" s="19" t="s">
        <v>34</v>
      </c>
      <c r="G52" s="18" t="s">
        <v>15</v>
      </c>
      <c r="I52" s="32"/>
      <c r="J52" s="33"/>
      <c r="K52" s="34"/>
      <c r="L52" s="30"/>
      <c r="M52" s="35"/>
      <c r="N52" s="36"/>
    </row>
    <row r="53">
      <c r="A53" s="14"/>
      <c r="B53" s="23"/>
      <c r="C53" s="23"/>
      <c r="D53" s="17" t="s">
        <v>20</v>
      </c>
      <c r="E53" s="18" t="s">
        <v>30</v>
      </c>
      <c r="F53" s="19" t="s">
        <v>34</v>
      </c>
      <c r="G53" s="18" t="s">
        <v>15</v>
      </c>
      <c r="I53" s="20"/>
      <c r="J53" s="21"/>
      <c r="K53" s="21"/>
      <c r="L53" s="21"/>
      <c r="M53" s="21"/>
      <c r="N53" s="22"/>
    </row>
    <row r="54">
      <c r="A54" s="14"/>
      <c r="B54" s="25" t="s">
        <v>29</v>
      </c>
      <c r="C54" s="26">
        <v>20.0</v>
      </c>
      <c r="D54" s="17" t="s">
        <v>12</v>
      </c>
      <c r="E54" s="18" t="s">
        <v>30</v>
      </c>
      <c r="F54" s="19" t="s">
        <v>34</v>
      </c>
      <c r="G54" s="18" t="s">
        <v>15</v>
      </c>
      <c r="I54" s="27" t="s">
        <v>29</v>
      </c>
      <c r="J54" s="43">
        <v>20.0</v>
      </c>
      <c r="K54" s="44" t="s">
        <v>27</v>
      </c>
      <c r="L54" s="30" t="s">
        <v>22</v>
      </c>
      <c r="M54" s="30" t="s">
        <v>28</v>
      </c>
      <c r="N54" s="31" t="s">
        <v>19</v>
      </c>
    </row>
    <row r="55">
      <c r="A55" s="14"/>
      <c r="B55" s="24"/>
      <c r="C55" s="24"/>
      <c r="D55" s="17" t="s">
        <v>16</v>
      </c>
      <c r="E55" s="18" t="s">
        <v>30</v>
      </c>
      <c r="F55" s="19" t="s">
        <v>34</v>
      </c>
      <c r="G55" s="18" t="s">
        <v>15</v>
      </c>
      <c r="I55" s="32"/>
      <c r="J55" s="34"/>
      <c r="K55" s="45"/>
      <c r="L55" s="30"/>
      <c r="M55" s="35"/>
      <c r="N55" s="36"/>
    </row>
    <row r="56">
      <c r="A56" s="14"/>
      <c r="B56" s="23"/>
      <c r="C56" s="23"/>
      <c r="D56" s="17" t="s">
        <v>20</v>
      </c>
      <c r="E56" s="18" t="s">
        <v>30</v>
      </c>
      <c r="F56" s="19" t="s">
        <v>34</v>
      </c>
      <c r="G56" s="18" t="s">
        <v>15</v>
      </c>
      <c r="I56" s="20"/>
      <c r="J56" s="21"/>
      <c r="K56" s="21"/>
      <c r="L56" s="21"/>
      <c r="M56" s="21"/>
      <c r="N56" s="22"/>
    </row>
    <row r="57">
      <c r="A57" s="14"/>
      <c r="B57" s="25" t="s">
        <v>31</v>
      </c>
      <c r="C57" s="26">
        <v>21.0</v>
      </c>
      <c r="D57" s="17" t="s">
        <v>12</v>
      </c>
      <c r="E57" s="18" t="s">
        <v>30</v>
      </c>
      <c r="F57" s="18" t="s">
        <v>26</v>
      </c>
      <c r="G57" s="18" t="s">
        <v>19</v>
      </c>
      <c r="I57" s="27" t="s">
        <v>31</v>
      </c>
      <c r="J57" s="46">
        <v>21.0</v>
      </c>
      <c r="K57" s="44" t="s">
        <v>27</v>
      </c>
      <c r="L57" s="30" t="s">
        <v>22</v>
      </c>
      <c r="M57" s="47" t="s">
        <v>28</v>
      </c>
      <c r="N57" s="31" t="s">
        <v>15</v>
      </c>
    </row>
    <row r="58">
      <c r="A58" s="14"/>
      <c r="B58" s="24"/>
      <c r="C58" s="24"/>
      <c r="D58" s="17" t="s">
        <v>16</v>
      </c>
      <c r="E58" s="18" t="s">
        <v>30</v>
      </c>
      <c r="F58" s="18" t="s">
        <v>26</v>
      </c>
      <c r="G58" s="18" t="s">
        <v>19</v>
      </c>
      <c r="I58" s="32"/>
      <c r="J58" s="45"/>
      <c r="K58" s="45"/>
      <c r="L58" s="30"/>
      <c r="M58" s="35"/>
      <c r="N58" s="36"/>
    </row>
    <row r="59">
      <c r="A59" s="14"/>
      <c r="B59" s="23"/>
      <c r="C59" s="23"/>
      <c r="D59" s="17" t="s">
        <v>20</v>
      </c>
      <c r="E59" s="18" t="s">
        <v>30</v>
      </c>
      <c r="F59" s="18" t="s">
        <v>26</v>
      </c>
      <c r="G59" s="18" t="s">
        <v>15</v>
      </c>
      <c r="I59" s="20"/>
      <c r="J59" s="21"/>
      <c r="K59" s="21"/>
      <c r="L59" s="21"/>
      <c r="M59" s="21"/>
      <c r="N59" s="22"/>
    </row>
    <row r="60">
      <c r="A60" s="14"/>
      <c r="B60" s="15" t="s">
        <v>11</v>
      </c>
      <c r="C60" s="16">
        <v>22.0</v>
      </c>
      <c r="D60" s="17" t="s">
        <v>12</v>
      </c>
      <c r="E60" s="18" t="s">
        <v>22</v>
      </c>
      <c r="F60" s="19" t="s">
        <v>14</v>
      </c>
      <c r="G60" s="18" t="s">
        <v>19</v>
      </c>
      <c r="I60" s="20"/>
      <c r="J60" s="21"/>
      <c r="K60" s="21"/>
      <c r="L60" s="21"/>
      <c r="M60" s="21"/>
      <c r="N60" s="22"/>
    </row>
    <row r="61">
      <c r="A61" s="14"/>
      <c r="B61" s="23"/>
      <c r="C61" s="23"/>
      <c r="D61" s="17" t="s">
        <v>16</v>
      </c>
      <c r="E61" s="18" t="s">
        <v>22</v>
      </c>
      <c r="F61" s="19" t="s">
        <v>14</v>
      </c>
      <c r="G61" s="18" t="s">
        <v>19</v>
      </c>
      <c r="I61" s="20"/>
      <c r="J61" s="21"/>
      <c r="K61" s="21"/>
      <c r="L61" s="21"/>
      <c r="M61" s="21"/>
      <c r="N61" s="22"/>
    </row>
    <row r="62">
      <c r="A62" s="14"/>
      <c r="B62" s="15" t="s">
        <v>17</v>
      </c>
      <c r="C62" s="16">
        <v>23.0</v>
      </c>
      <c r="D62" s="17" t="s">
        <v>12</v>
      </c>
      <c r="E62" s="18" t="s">
        <v>13</v>
      </c>
      <c r="F62" s="19" t="s">
        <v>14</v>
      </c>
      <c r="G62" s="18" t="s">
        <v>15</v>
      </c>
      <c r="I62" s="20"/>
      <c r="J62" s="21"/>
      <c r="K62" s="21"/>
      <c r="L62" s="21"/>
      <c r="M62" s="21"/>
      <c r="N62" s="22"/>
    </row>
    <row r="63">
      <c r="A63" s="14"/>
      <c r="B63" s="23"/>
      <c r="C63" s="23"/>
      <c r="D63" s="17" t="s">
        <v>16</v>
      </c>
      <c r="E63" s="18" t="s">
        <v>13</v>
      </c>
      <c r="F63" s="19" t="s">
        <v>14</v>
      </c>
      <c r="G63" s="18" t="s">
        <v>15</v>
      </c>
      <c r="I63" s="20"/>
      <c r="J63" s="21"/>
      <c r="K63" s="21"/>
      <c r="L63" s="21"/>
      <c r="M63" s="21"/>
      <c r="N63" s="22"/>
    </row>
    <row r="64">
      <c r="A64" s="14"/>
      <c r="B64" s="25" t="s">
        <v>21</v>
      </c>
      <c r="C64" s="16">
        <v>24.0</v>
      </c>
      <c r="D64" s="17" t="s">
        <v>12</v>
      </c>
      <c r="E64" s="18" t="s">
        <v>22</v>
      </c>
      <c r="F64" s="19" t="s">
        <v>26</v>
      </c>
      <c r="G64" s="18" t="s">
        <v>15</v>
      </c>
      <c r="I64" s="20"/>
      <c r="J64" s="21"/>
      <c r="K64" s="21"/>
      <c r="L64" s="21"/>
      <c r="M64" s="21"/>
      <c r="N64" s="22"/>
    </row>
    <row r="65">
      <c r="A65" s="14"/>
      <c r="B65" s="24"/>
      <c r="C65" s="24"/>
      <c r="D65" s="17" t="s">
        <v>16</v>
      </c>
      <c r="E65" s="18" t="s">
        <v>22</v>
      </c>
      <c r="F65" s="19" t="s">
        <v>26</v>
      </c>
      <c r="G65" s="18" t="s">
        <v>19</v>
      </c>
      <c r="I65" s="20"/>
      <c r="J65" s="21"/>
      <c r="K65" s="21"/>
      <c r="L65" s="21"/>
      <c r="M65" s="21"/>
      <c r="N65" s="22"/>
    </row>
    <row r="66">
      <c r="A66" s="14"/>
      <c r="B66" s="23"/>
      <c r="C66" s="23"/>
      <c r="D66" s="17" t="s">
        <v>20</v>
      </c>
      <c r="E66" s="18" t="s">
        <v>22</v>
      </c>
      <c r="F66" s="19" t="s">
        <v>14</v>
      </c>
      <c r="G66" s="19" t="s">
        <v>19</v>
      </c>
      <c r="I66" s="20"/>
      <c r="J66" s="21"/>
      <c r="K66" s="21"/>
      <c r="L66" s="21"/>
      <c r="M66" s="21"/>
      <c r="N66" s="22"/>
    </row>
    <row r="67">
      <c r="A67" s="14"/>
      <c r="B67" s="15" t="s">
        <v>23</v>
      </c>
      <c r="C67" s="16">
        <v>25.0</v>
      </c>
      <c r="D67" s="17" t="s">
        <v>12</v>
      </c>
      <c r="E67" s="18" t="s">
        <v>13</v>
      </c>
      <c r="F67" s="19" t="s">
        <v>14</v>
      </c>
      <c r="G67" s="18" t="s">
        <v>15</v>
      </c>
      <c r="I67" s="20"/>
      <c r="J67" s="21"/>
      <c r="K67" s="21"/>
      <c r="L67" s="21"/>
      <c r="M67" s="21"/>
      <c r="N67" s="22"/>
    </row>
    <row r="68">
      <c r="A68" s="14"/>
      <c r="B68" s="23"/>
      <c r="C68" s="23"/>
      <c r="D68" s="17" t="s">
        <v>16</v>
      </c>
      <c r="E68" s="18" t="s">
        <v>30</v>
      </c>
      <c r="F68" s="19" t="s">
        <v>14</v>
      </c>
      <c r="G68" s="18" t="s">
        <v>15</v>
      </c>
      <c r="I68" s="20"/>
      <c r="J68" s="21"/>
      <c r="K68" s="21"/>
      <c r="L68" s="21"/>
      <c r="M68" s="21"/>
      <c r="N68" s="22"/>
    </row>
    <row r="69">
      <c r="A69" s="14"/>
      <c r="B69" s="25" t="s">
        <v>25</v>
      </c>
      <c r="C69" s="26">
        <v>26.0</v>
      </c>
      <c r="D69" s="17" t="s">
        <v>12</v>
      </c>
      <c r="E69" s="18" t="s">
        <v>13</v>
      </c>
      <c r="F69" s="18" t="s">
        <v>26</v>
      </c>
      <c r="G69" s="19" t="s">
        <v>19</v>
      </c>
      <c r="I69" s="27" t="s">
        <v>25</v>
      </c>
      <c r="J69" s="28">
        <v>26.0</v>
      </c>
      <c r="K69" s="29" t="s">
        <v>27</v>
      </c>
      <c r="L69" s="47" t="s">
        <v>22</v>
      </c>
      <c r="M69" s="47" t="s">
        <v>26</v>
      </c>
      <c r="N69" s="31" t="s">
        <v>19</v>
      </c>
    </row>
    <row r="70">
      <c r="A70" s="14"/>
      <c r="B70" s="24"/>
      <c r="C70" s="24"/>
      <c r="D70" s="17" t="s">
        <v>16</v>
      </c>
      <c r="E70" s="18" t="s">
        <v>30</v>
      </c>
      <c r="F70" s="18" t="s">
        <v>26</v>
      </c>
      <c r="G70" s="18" t="s">
        <v>28</v>
      </c>
      <c r="I70" s="32"/>
      <c r="J70" s="33"/>
      <c r="K70" s="34"/>
      <c r="L70" s="30"/>
      <c r="M70" s="35"/>
      <c r="N70" s="36"/>
    </row>
    <row r="71">
      <c r="A71" s="14"/>
      <c r="B71" s="23"/>
      <c r="C71" s="23"/>
      <c r="D71" s="17" t="s">
        <v>20</v>
      </c>
      <c r="E71" s="18" t="s">
        <v>30</v>
      </c>
      <c r="F71" s="18" t="s">
        <v>26</v>
      </c>
      <c r="G71" s="19" t="s">
        <v>19</v>
      </c>
      <c r="I71" s="20"/>
      <c r="J71" s="21"/>
      <c r="K71" s="21"/>
      <c r="L71" s="21"/>
      <c r="M71" s="21"/>
      <c r="N71" s="22"/>
    </row>
    <row r="72">
      <c r="A72" s="14"/>
      <c r="B72" s="25" t="s">
        <v>29</v>
      </c>
      <c r="C72" s="26">
        <v>27.0</v>
      </c>
      <c r="D72" s="17" t="s">
        <v>12</v>
      </c>
      <c r="E72" s="18" t="s">
        <v>13</v>
      </c>
      <c r="F72" s="18" t="s">
        <v>18</v>
      </c>
      <c r="G72" s="18" t="s">
        <v>28</v>
      </c>
      <c r="I72" s="27" t="s">
        <v>29</v>
      </c>
      <c r="J72" s="43">
        <v>27.0</v>
      </c>
      <c r="K72" s="44" t="s">
        <v>27</v>
      </c>
      <c r="L72" s="47" t="s">
        <v>13</v>
      </c>
      <c r="M72" s="47" t="s">
        <v>28</v>
      </c>
      <c r="N72" s="31" t="s">
        <v>28</v>
      </c>
    </row>
    <row r="73">
      <c r="A73" s="14"/>
      <c r="B73" s="24"/>
      <c r="C73" s="24"/>
      <c r="D73" s="17" t="s">
        <v>16</v>
      </c>
      <c r="E73" s="18" t="s">
        <v>28</v>
      </c>
      <c r="F73" s="18" t="s">
        <v>18</v>
      </c>
      <c r="G73" s="18" t="s">
        <v>28</v>
      </c>
      <c r="I73" s="32"/>
      <c r="J73" s="34"/>
      <c r="K73" s="45"/>
      <c r="L73" s="30"/>
      <c r="M73" s="35"/>
      <c r="N73" s="36"/>
    </row>
    <row r="74">
      <c r="A74" s="14"/>
      <c r="B74" s="23"/>
      <c r="C74" s="23"/>
      <c r="D74" s="17" t="s">
        <v>20</v>
      </c>
      <c r="E74" s="18" t="s">
        <v>13</v>
      </c>
      <c r="F74" s="18" t="s">
        <v>18</v>
      </c>
      <c r="G74" s="18" t="s">
        <v>28</v>
      </c>
      <c r="I74" s="20"/>
      <c r="J74" s="21"/>
      <c r="K74" s="21"/>
      <c r="L74" s="21"/>
      <c r="M74" s="21"/>
      <c r="N74" s="22"/>
    </row>
    <row r="75">
      <c r="A75" s="14"/>
      <c r="B75" s="25" t="s">
        <v>31</v>
      </c>
      <c r="C75" s="26">
        <v>28.0</v>
      </c>
      <c r="D75" s="17" t="s">
        <v>12</v>
      </c>
      <c r="E75" s="18" t="s">
        <v>22</v>
      </c>
      <c r="F75" s="18" t="s">
        <v>34</v>
      </c>
      <c r="G75" s="18" t="s">
        <v>19</v>
      </c>
      <c r="I75" s="27" t="s">
        <v>31</v>
      </c>
      <c r="J75" s="46">
        <v>28.0</v>
      </c>
      <c r="K75" s="44" t="s">
        <v>27</v>
      </c>
      <c r="L75" s="47" t="s">
        <v>22</v>
      </c>
      <c r="M75" s="47" t="s">
        <v>26</v>
      </c>
      <c r="N75" s="31" t="s">
        <v>15</v>
      </c>
    </row>
    <row r="76">
      <c r="A76" s="14"/>
      <c r="B76" s="24"/>
      <c r="C76" s="24"/>
      <c r="D76" s="17" t="s">
        <v>16</v>
      </c>
      <c r="E76" s="18" t="s">
        <v>28</v>
      </c>
      <c r="F76" s="18" t="s">
        <v>34</v>
      </c>
      <c r="G76" s="18" t="s">
        <v>19</v>
      </c>
      <c r="I76" s="32"/>
      <c r="J76" s="45"/>
      <c r="K76" s="45"/>
      <c r="L76" s="30"/>
      <c r="M76" s="35"/>
      <c r="N76" s="36"/>
    </row>
    <row r="77">
      <c r="A77" s="14"/>
      <c r="B77" s="23"/>
      <c r="C77" s="23"/>
      <c r="D77" s="17" t="s">
        <v>20</v>
      </c>
      <c r="E77" s="18" t="s">
        <v>22</v>
      </c>
      <c r="F77" s="18" t="s">
        <v>34</v>
      </c>
      <c r="G77" s="18" t="s">
        <v>15</v>
      </c>
      <c r="I77" s="49"/>
      <c r="J77" s="50"/>
      <c r="K77" s="40"/>
      <c r="L77" s="40"/>
      <c r="M77" s="51"/>
      <c r="N77" s="42"/>
    </row>
    <row r="78">
      <c r="A78" s="14"/>
      <c r="B78" s="15" t="s">
        <v>11</v>
      </c>
      <c r="C78" s="16">
        <v>29.0</v>
      </c>
      <c r="D78" s="17" t="s">
        <v>12</v>
      </c>
      <c r="E78" s="18" t="s">
        <v>13</v>
      </c>
      <c r="F78" s="19" t="s">
        <v>14</v>
      </c>
      <c r="G78" s="18" t="s">
        <v>15</v>
      </c>
      <c r="I78" s="52"/>
      <c r="J78" s="53"/>
      <c r="K78" s="54"/>
      <c r="L78" s="40"/>
      <c r="M78" s="51"/>
      <c r="N78" s="42"/>
    </row>
    <row r="79">
      <c r="A79" s="14"/>
      <c r="B79" s="23"/>
      <c r="C79" s="23"/>
      <c r="D79" s="17" t="s">
        <v>16</v>
      </c>
      <c r="E79" s="18" t="s">
        <v>30</v>
      </c>
      <c r="F79" s="19" t="s">
        <v>14</v>
      </c>
      <c r="G79" s="18" t="s">
        <v>15</v>
      </c>
      <c r="I79" s="20"/>
      <c r="J79" s="21"/>
      <c r="K79" s="21"/>
      <c r="L79" s="21"/>
      <c r="M79" s="21"/>
      <c r="N79" s="22"/>
    </row>
    <row r="80">
      <c r="A80" s="14"/>
      <c r="B80" s="15" t="s">
        <v>17</v>
      </c>
      <c r="C80" s="16">
        <v>30.0</v>
      </c>
      <c r="D80" s="17" t="s">
        <v>32</v>
      </c>
      <c r="E80" s="18" t="s">
        <v>28</v>
      </c>
      <c r="F80" s="18" t="s">
        <v>14</v>
      </c>
      <c r="G80" s="18" t="s">
        <v>28</v>
      </c>
      <c r="I80" s="20"/>
      <c r="J80" s="21"/>
      <c r="K80" s="21"/>
      <c r="L80" s="21"/>
      <c r="M80" s="21"/>
      <c r="N80" s="22"/>
    </row>
    <row r="81">
      <c r="A81" s="14"/>
      <c r="B81" s="24"/>
      <c r="C81" s="24"/>
      <c r="D81" s="17" t="s">
        <v>12</v>
      </c>
      <c r="E81" s="18" t="s">
        <v>13</v>
      </c>
      <c r="F81" s="19" t="s">
        <v>14</v>
      </c>
      <c r="G81" s="18" t="s">
        <v>15</v>
      </c>
      <c r="I81" s="20"/>
      <c r="J81" s="21"/>
      <c r="K81" s="21"/>
      <c r="L81" s="21"/>
      <c r="M81" s="21"/>
      <c r="N81" s="22"/>
    </row>
    <row r="82">
      <c r="A82" s="14"/>
      <c r="B82" s="23"/>
      <c r="C82" s="23"/>
      <c r="D82" s="17" t="s">
        <v>16</v>
      </c>
      <c r="E82" s="18" t="s">
        <v>30</v>
      </c>
      <c r="F82" s="19" t="s">
        <v>14</v>
      </c>
      <c r="G82" s="18" t="s">
        <v>15</v>
      </c>
      <c r="I82" s="20"/>
      <c r="J82" s="21"/>
      <c r="K82" s="21"/>
      <c r="L82" s="21"/>
      <c r="M82" s="21"/>
      <c r="N82" s="22"/>
    </row>
    <row r="83">
      <c r="A83" s="14"/>
      <c r="B83" s="55"/>
      <c r="C83" s="56"/>
      <c r="D83" s="17"/>
      <c r="E83" s="18"/>
      <c r="F83" s="18"/>
      <c r="G83" s="18"/>
      <c r="I83" s="20"/>
      <c r="J83" s="21"/>
      <c r="K83" s="21"/>
      <c r="L83" s="21"/>
      <c r="M83" s="21"/>
      <c r="N83" s="22"/>
    </row>
    <row r="84">
      <c r="A84" s="14"/>
      <c r="B84" s="57"/>
      <c r="C84" s="58"/>
      <c r="D84" s="17"/>
      <c r="E84" s="18"/>
      <c r="F84" s="18"/>
      <c r="G84" s="18"/>
      <c r="I84" s="20"/>
      <c r="J84" s="21"/>
      <c r="K84" s="21"/>
      <c r="L84" s="21"/>
      <c r="M84" s="21"/>
      <c r="N84" s="22"/>
    </row>
    <row r="85">
      <c r="A85" s="14"/>
      <c r="B85" s="15"/>
      <c r="C85" s="59"/>
      <c r="D85" s="17"/>
      <c r="E85" s="18"/>
      <c r="F85" s="18"/>
      <c r="G85" s="18"/>
      <c r="I85" s="20"/>
      <c r="J85" s="21"/>
      <c r="K85" s="21"/>
      <c r="L85" s="21"/>
      <c r="M85" s="21"/>
      <c r="N85" s="22"/>
    </row>
    <row r="86">
      <c r="A86" s="14"/>
      <c r="B86" s="23"/>
      <c r="C86" s="23"/>
      <c r="D86" s="17"/>
      <c r="E86" s="18"/>
      <c r="F86" s="18"/>
      <c r="G86" s="18"/>
      <c r="I86" s="60"/>
      <c r="J86" s="61"/>
      <c r="K86" s="61"/>
      <c r="L86" s="61"/>
      <c r="M86" s="61"/>
      <c r="N86" s="62"/>
    </row>
    <row r="87">
      <c r="E87" s="63">
        <f>COUNTIF(E4:E86, "Mira") + Countif(E4:E86, "Tuna")+ Countif(E4:E86, "Guilherme")+ Countif(E4:E86, "Pablo")+ Countif(E4:E86, "Tavares")+ Countif(E4:E86, "Sobral") + Countif(E4:E86, "Pipo")+ Countif(E4:E86, "Enfermagem")+ Countif(E4:E86, "Literatus")+ Countif(E4:E86, "Medicina") + Countif(E4:E86, "Marco Paulo")</f>
        <v>76</v>
      </c>
      <c r="F87" s="63">
        <f>Countif(F4:F86, "Gift") + Countif(F4:F86, "Monte") + Countif(F4:F86, "Sorte") + Countif(F4:F86, "Afonso") + Countif(F4:F86, "Geni") + Countif(F4:F86, "JP")</f>
        <v>79</v>
      </c>
      <c r="G87" s="63">
        <f>COUNTIF(G4:G86, "Apostas") + COUNTIF(G4:G86, "Prodígio") + COUNTIF(G4:G86, "Poço") + COUNTIF(G4:G86, "Pedro")</f>
        <v>74</v>
      </c>
      <c r="L87" s="64">
        <f>COUNTIF(L4:L86, "Mira") + Countif(L4:L86, "Tuna")+ Countif(L4:L86, "Guilherme")+ Countif(L4:L86, "Pablo")+ Countif(L4:L86, "Tavares")+ Countif(L4:L86, "Sobral") + Countif(L4:L86, "Pipo")+ Countif(L4:L86, "Enfermagem")+ Countif(L4:L86, "Literatus")+ Countif(L4:L86, "Medicina")</f>
        <v>9</v>
      </c>
      <c r="M87" s="64">
        <f>Countif(M4:M83, "Gift") + Countif(M4:M83, "Monte") + Countif(M4:M83, "Sorte") + Countif(M4:M83, "Afonso") + Countif(M4:M83, "Geni") + Countif(M4:M83, "JP")</f>
        <v>4</v>
      </c>
      <c r="N87" s="64">
        <f>Countif(N4:N83, "Apostas") + Countif(N4:N83, "Prodígio") + Countif(N4:N83, "Poço")</f>
        <v>8</v>
      </c>
    </row>
    <row r="92" ht="22.5" customHeight="1">
      <c r="D92" s="65" t="s">
        <v>36</v>
      </c>
      <c r="E92" s="65" t="s">
        <v>37</v>
      </c>
      <c r="F92" s="65" t="s">
        <v>38</v>
      </c>
      <c r="G92" s="66" t="s">
        <v>39</v>
      </c>
      <c r="H92" s="67" t="s">
        <v>40</v>
      </c>
      <c r="K92" s="65" t="s">
        <v>36</v>
      </c>
      <c r="L92" s="65" t="s">
        <v>37</v>
      </c>
      <c r="M92" s="65" t="s">
        <v>38</v>
      </c>
      <c r="N92" s="66" t="s">
        <v>39</v>
      </c>
      <c r="O92" s="67" t="s">
        <v>40</v>
      </c>
      <c r="R92" s="68" t="s">
        <v>41</v>
      </c>
    </row>
    <row r="93" ht="22.5" customHeight="1">
      <c r="C93" s="69" t="s">
        <v>42</v>
      </c>
      <c r="D93" s="70" t="s">
        <v>22</v>
      </c>
      <c r="E93" s="71">
        <f>COUNTIF(E3:E86,"Tuna")</f>
        <v>19</v>
      </c>
      <c r="F93" s="72">
        <f t="shared" ref="F93:F109" si="2">((75/3)*E93)</f>
        <v>475</v>
      </c>
      <c r="G93" s="73">
        <f>E87</f>
        <v>76</v>
      </c>
      <c r="H93" s="74">
        <f>SUM(F93:F99)</f>
        <v>1875</v>
      </c>
      <c r="J93" s="69" t="s">
        <v>42</v>
      </c>
      <c r="K93" s="70" t="s">
        <v>22</v>
      </c>
      <c r="L93" s="71">
        <f>COUNTIF(L1:L83,"Tuna")</f>
        <v>5</v>
      </c>
      <c r="M93" s="72">
        <f t="shared" ref="M93:M107" si="3">((135/3)*L93)</f>
        <v>225</v>
      </c>
      <c r="N93" s="73">
        <f t="shared" ref="N93:O93" si="1">SUM(L93:L99)</f>
        <v>9</v>
      </c>
      <c r="O93" s="74">
        <f t="shared" si="1"/>
        <v>405</v>
      </c>
      <c r="Q93" s="75" t="s">
        <v>22</v>
      </c>
      <c r="R93" s="76">
        <f t="shared" ref="R93:R109" si="4">SUM(F93,M93)</f>
        <v>700</v>
      </c>
    </row>
    <row r="94" ht="22.5" customHeight="1">
      <c r="C94" s="77"/>
      <c r="D94" s="78" t="s">
        <v>30</v>
      </c>
      <c r="E94" s="79">
        <f>COUNTIF(E3:E86,"Mira")</f>
        <v>26</v>
      </c>
      <c r="F94" s="80">
        <f t="shared" si="2"/>
        <v>650</v>
      </c>
      <c r="G94" s="81"/>
      <c r="H94" s="82"/>
      <c r="J94" s="77"/>
      <c r="K94" s="78" t="s">
        <v>30</v>
      </c>
      <c r="L94" s="79">
        <f>COUNTIF(L1:L83,"Mira")</f>
        <v>3</v>
      </c>
      <c r="M94" s="80">
        <f t="shared" si="3"/>
        <v>135</v>
      </c>
      <c r="N94" s="81"/>
      <c r="O94" s="82"/>
      <c r="Q94" s="83" t="s">
        <v>30</v>
      </c>
      <c r="R94" s="76">
        <f t="shared" si="4"/>
        <v>785</v>
      </c>
    </row>
    <row r="95" ht="22.5" customHeight="1">
      <c r="C95" s="77"/>
      <c r="D95" s="78" t="s">
        <v>13</v>
      </c>
      <c r="E95" s="79">
        <f>COUNTIF(E3:E86,"Pipo")</f>
        <v>30</v>
      </c>
      <c r="F95" s="80">
        <f t="shared" si="2"/>
        <v>750</v>
      </c>
      <c r="G95" s="81"/>
      <c r="H95" s="82"/>
      <c r="J95" s="77"/>
      <c r="K95" s="78" t="s">
        <v>13</v>
      </c>
      <c r="L95" s="79">
        <f>COUNTIF(L1:L83,"Pipo")</f>
        <v>1</v>
      </c>
      <c r="M95" s="84">
        <f t="shared" si="3"/>
        <v>45</v>
      </c>
      <c r="N95" s="81"/>
      <c r="O95" s="82"/>
      <c r="Q95" s="83" t="s">
        <v>13</v>
      </c>
      <c r="R95" s="76">
        <f t="shared" si="4"/>
        <v>795</v>
      </c>
    </row>
    <row r="96" ht="22.5" customHeight="1">
      <c r="C96" s="77"/>
      <c r="D96" s="85" t="s">
        <v>43</v>
      </c>
      <c r="E96" s="86">
        <f>COUNTIF(E3:E86,"Pablo")</f>
        <v>0</v>
      </c>
      <c r="F96" s="87">
        <f t="shared" si="2"/>
        <v>0</v>
      </c>
      <c r="G96" s="81"/>
      <c r="H96" s="82"/>
      <c r="J96" s="77"/>
      <c r="K96" s="85" t="s">
        <v>43</v>
      </c>
      <c r="L96" s="88">
        <f>COUNTIF(L1:L83,"Pablo")</f>
        <v>0</v>
      </c>
      <c r="M96" s="89">
        <f t="shared" si="3"/>
        <v>0</v>
      </c>
      <c r="N96" s="81"/>
      <c r="O96" s="82"/>
      <c r="Q96" s="90" t="s">
        <v>43</v>
      </c>
      <c r="R96" s="76">
        <f t="shared" si="4"/>
        <v>0</v>
      </c>
    </row>
    <row r="97" ht="22.5" customHeight="1">
      <c r="C97" s="77"/>
      <c r="D97" s="85" t="s">
        <v>44</v>
      </c>
      <c r="E97" s="86">
        <f>COUNTIF(E3:E86,"Tavares")</f>
        <v>0</v>
      </c>
      <c r="F97" s="87">
        <f t="shared" si="2"/>
        <v>0</v>
      </c>
      <c r="G97" s="81"/>
      <c r="H97" s="82"/>
      <c r="J97" s="77"/>
      <c r="K97" s="85" t="s">
        <v>44</v>
      </c>
      <c r="L97" s="88">
        <f>COUNTIF(L1:L83,"Tavares")</f>
        <v>0</v>
      </c>
      <c r="M97" s="89">
        <f t="shared" si="3"/>
        <v>0</v>
      </c>
      <c r="N97" s="81"/>
      <c r="O97" s="82"/>
      <c r="Q97" s="90" t="s">
        <v>44</v>
      </c>
      <c r="R97" s="76">
        <f t="shared" si="4"/>
        <v>0</v>
      </c>
    </row>
    <row r="98" ht="22.5" customHeight="1">
      <c r="C98" s="77"/>
      <c r="D98" s="85" t="s">
        <v>45</v>
      </c>
      <c r="E98" s="86">
        <f>COUNTIF(E3:E86,"Guilherme")</f>
        <v>0</v>
      </c>
      <c r="F98" s="87">
        <f t="shared" si="2"/>
        <v>0</v>
      </c>
      <c r="G98" s="81"/>
      <c r="H98" s="82"/>
      <c r="J98" s="77"/>
      <c r="K98" s="85" t="s">
        <v>45</v>
      </c>
      <c r="L98" s="88">
        <f>COUNTIF(L4:L89,"Guilherme")</f>
        <v>0</v>
      </c>
      <c r="M98" s="89">
        <f t="shared" si="3"/>
        <v>0</v>
      </c>
      <c r="N98" s="81"/>
      <c r="O98" s="82"/>
      <c r="Q98" s="90" t="s">
        <v>45</v>
      </c>
      <c r="R98" s="76">
        <f t="shared" si="4"/>
        <v>0</v>
      </c>
    </row>
    <row r="99" ht="22.5" customHeight="1">
      <c r="C99" s="91"/>
      <c r="D99" s="92" t="s">
        <v>46</v>
      </c>
      <c r="E99" s="93">
        <f>COUNTIF(E3:E86,"Tomás")</f>
        <v>0</v>
      </c>
      <c r="F99" s="94">
        <f t="shared" si="2"/>
        <v>0</v>
      </c>
      <c r="G99" s="95"/>
      <c r="H99" s="96"/>
      <c r="J99" s="91"/>
      <c r="K99" s="92" t="s">
        <v>46</v>
      </c>
      <c r="L99" s="93">
        <f>COUNTIF(L2:L85,"Tomás")</f>
        <v>0</v>
      </c>
      <c r="M99" s="94">
        <f t="shared" si="3"/>
        <v>0</v>
      </c>
      <c r="N99" s="95"/>
      <c r="O99" s="96"/>
      <c r="Q99" s="97" t="s">
        <v>46</v>
      </c>
      <c r="R99" s="98">
        <f t="shared" si="4"/>
        <v>0</v>
      </c>
    </row>
    <row r="100" ht="22.5" customHeight="1">
      <c r="C100" s="69" t="s">
        <v>47</v>
      </c>
      <c r="D100" s="99" t="s">
        <v>35</v>
      </c>
      <c r="E100" s="100">
        <f>Countif(F3:F86,"Gift")</f>
        <v>5</v>
      </c>
      <c r="F100" s="101">
        <f t="shared" si="2"/>
        <v>125</v>
      </c>
      <c r="G100" s="102">
        <f>F87</f>
        <v>79</v>
      </c>
      <c r="H100" s="103">
        <f>SUM(F100:F105)</f>
        <v>1975</v>
      </c>
      <c r="J100" s="69" t="s">
        <v>47</v>
      </c>
      <c r="K100" s="99" t="s">
        <v>35</v>
      </c>
      <c r="L100" s="100">
        <f>Countif(M1:M83,"Gift")</f>
        <v>0</v>
      </c>
      <c r="M100" s="101">
        <f t="shared" si="3"/>
        <v>0</v>
      </c>
      <c r="N100" s="102">
        <f t="shared" ref="N100:O100" si="5">SUM(L100:L105)</f>
        <v>4</v>
      </c>
      <c r="O100" s="103">
        <f t="shared" si="5"/>
        <v>180</v>
      </c>
      <c r="Q100" s="104" t="s">
        <v>35</v>
      </c>
      <c r="R100" s="105">
        <f t="shared" si="4"/>
        <v>125</v>
      </c>
    </row>
    <row r="101" ht="22.5" customHeight="1">
      <c r="C101" s="77"/>
      <c r="D101" s="99" t="s">
        <v>34</v>
      </c>
      <c r="E101" s="100">
        <f>Countif(F3:F86,"Monte")</f>
        <v>15</v>
      </c>
      <c r="F101" s="101">
        <f t="shared" si="2"/>
        <v>375</v>
      </c>
      <c r="G101" s="106"/>
      <c r="H101" s="82"/>
      <c r="J101" s="77"/>
      <c r="K101" s="99" t="s">
        <v>34</v>
      </c>
      <c r="L101" s="100">
        <f>Countif(M1:M83,"Monte")</f>
        <v>0</v>
      </c>
      <c r="M101" s="101">
        <f t="shared" si="3"/>
        <v>0</v>
      </c>
      <c r="N101" s="106"/>
      <c r="O101" s="82"/>
      <c r="Q101" s="83" t="s">
        <v>34</v>
      </c>
      <c r="R101" s="76">
        <f t="shared" si="4"/>
        <v>375</v>
      </c>
    </row>
    <row r="102" ht="22.5" customHeight="1">
      <c r="C102" s="77"/>
      <c r="D102" s="99" t="s">
        <v>26</v>
      </c>
      <c r="E102" s="100">
        <f>Countif(F3:F86,"Sorte")</f>
        <v>15</v>
      </c>
      <c r="F102" s="101">
        <f t="shared" si="2"/>
        <v>375</v>
      </c>
      <c r="G102" s="106"/>
      <c r="H102" s="82"/>
      <c r="J102" s="77"/>
      <c r="K102" s="99" t="s">
        <v>26</v>
      </c>
      <c r="L102" s="100">
        <f>Countif(M1:M83,"Sorte")</f>
        <v>2</v>
      </c>
      <c r="M102" s="101">
        <f t="shared" si="3"/>
        <v>90</v>
      </c>
      <c r="N102" s="106"/>
      <c r="O102" s="82"/>
      <c r="Q102" s="83" t="s">
        <v>26</v>
      </c>
      <c r="R102" s="76">
        <f t="shared" si="4"/>
        <v>465</v>
      </c>
    </row>
    <row r="103" ht="22.5" customHeight="1">
      <c r="C103" s="77"/>
      <c r="D103" s="99" t="s">
        <v>14</v>
      </c>
      <c r="E103" s="100">
        <f>Countif(F3:F86,"Afonso")</f>
        <v>29</v>
      </c>
      <c r="F103" s="101">
        <f t="shared" si="2"/>
        <v>725</v>
      </c>
      <c r="G103" s="106"/>
      <c r="H103" s="82"/>
      <c r="J103" s="77"/>
      <c r="K103" s="99" t="s">
        <v>14</v>
      </c>
      <c r="L103" s="100">
        <f>Countif(M1:M83,"Afonso")</f>
        <v>2</v>
      </c>
      <c r="M103" s="101">
        <f t="shared" si="3"/>
        <v>90</v>
      </c>
      <c r="N103" s="106"/>
      <c r="O103" s="82"/>
      <c r="Q103" s="83" t="s">
        <v>14</v>
      </c>
      <c r="R103" s="76">
        <f t="shared" si="4"/>
        <v>815</v>
      </c>
    </row>
    <row r="104" ht="22.5" customHeight="1">
      <c r="C104" s="77"/>
      <c r="D104" s="99" t="s">
        <v>18</v>
      </c>
      <c r="E104" s="107">
        <f>Countif(F3:F86,"Geni")</f>
        <v>15</v>
      </c>
      <c r="F104" s="108">
        <f t="shared" si="2"/>
        <v>375</v>
      </c>
      <c r="G104" s="106"/>
      <c r="H104" s="82"/>
      <c r="J104" s="77"/>
      <c r="K104" s="99" t="s">
        <v>18</v>
      </c>
      <c r="L104" s="100">
        <f>Countif(M1:M83,"Geni")</f>
        <v>0</v>
      </c>
      <c r="M104" s="101">
        <f t="shared" si="3"/>
        <v>0</v>
      </c>
      <c r="N104" s="106"/>
      <c r="O104" s="82"/>
      <c r="Q104" s="83" t="s">
        <v>18</v>
      </c>
      <c r="R104" s="76">
        <f t="shared" si="4"/>
        <v>375</v>
      </c>
    </row>
    <row r="105" ht="22.5" customHeight="1">
      <c r="C105" s="91"/>
      <c r="D105" s="85" t="s">
        <v>48</v>
      </c>
      <c r="E105" s="86">
        <f>Countif(F3:F86,"JP")</f>
        <v>0</v>
      </c>
      <c r="F105" s="87">
        <f t="shared" si="2"/>
        <v>0</v>
      </c>
      <c r="G105" s="106"/>
      <c r="H105" s="82"/>
      <c r="J105" s="91"/>
      <c r="K105" s="92" t="s">
        <v>48</v>
      </c>
      <c r="L105" s="93">
        <f>Countif(M1:M83,"JP")</f>
        <v>0</v>
      </c>
      <c r="M105" s="94">
        <f t="shared" si="3"/>
        <v>0</v>
      </c>
      <c r="N105" s="106"/>
      <c r="O105" s="82"/>
      <c r="Q105" s="97" t="s">
        <v>48</v>
      </c>
      <c r="R105" s="98">
        <f t="shared" si="4"/>
        <v>0</v>
      </c>
    </row>
    <row r="106" ht="22.5" customHeight="1">
      <c r="C106" s="109" t="s">
        <v>49</v>
      </c>
      <c r="D106" s="110" t="s">
        <v>19</v>
      </c>
      <c r="E106" s="111">
        <f>Countif(G3:G86,"Apostas")</f>
        <v>43</v>
      </c>
      <c r="F106" s="112">
        <f t="shared" si="2"/>
        <v>1075</v>
      </c>
      <c r="G106" s="113">
        <f>G87</f>
        <v>74</v>
      </c>
      <c r="H106" s="74">
        <f>SUM(F106:F108)</f>
        <v>1775</v>
      </c>
      <c r="J106" s="69" t="s">
        <v>49</v>
      </c>
      <c r="K106" s="114" t="s">
        <v>19</v>
      </c>
      <c r="L106" s="115">
        <f>Countif(N1:N83,"Apostas")</f>
        <v>4</v>
      </c>
      <c r="M106" s="112">
        <f t="shared" si="3"/>
        <v>180</v>
      </c>
      <c r="N106" s="73">
        <f t="shared" ref="N106:O106" si="6">SUM(L106:L108)</f>
        <v>8</v>
      </c>
      <c r="O106" s="74">
        <f t="shared" si="6"/>
        <v>360</v>
      </c>
      <c r="Q106" s="104" t="s">
        <v>19</v>
      </c>
      <c r="R106" s="105">
        <f t="shared" si="4"/>
        <v>1255</v>
      </c>
    </row>
    <row r="107" ht="22.5" customHeight="1">
      <c r="C107" s="116"/>
      <c r="D107" s="117" t="s">
        <v>15</v>
      </c>
      <c r="E107" s="118">
        <f>Countif(G3:G86,"Prodígio")</f>
        <v>28</v>
      </c>
      <c r="F107" s="119">
        <f t="shared" si="2"/>
        <v>700</v>
      </c>
      <c r="G107" s="106"/>
      <c r="H107" s="82"/>
      <c r="J107" s="77"/>
      <c r="K107" s="120" t="s">
        <v>15</v>
      </c>
      <c r="L107" s="121">
        <f>Countif(N1:N83,"Prodígio")</f>
        <v>4</v>
      </c>
      <c r="M107" s="119">
        <f t="shared" si="3"/>
        <v>180</v>
      </c>
      <c r="N107" s="81"/>
      <c r="O107" s="82"/>
      <c r="Q107" s="83" t="s">
        <v>15</v>
      </c>
      <c r="R107" s="76">
        <f t="shared" si="4"/>
        <v>880</v>
      </c>
    </row>
    <row r="108" ht="22.5" customHeight="1">
      <c r="C108" s="116"/>
      <c r="D108" s="122" t="s">
        <v>50</v>
      </c>
      <c r="E108" s="88">
        <f>Countif(G1:G86,"Poço")</f>
        <v>0</v>
      </c>
      <c r="F108" s="89">
        <f t="shared" si="2"/>
        <v>0</v>
      </c>
      <c r="G108" s="106"/>
      <c r="H108" s="82"/>
      <c r="J108" s="77"/>
      <c r="K108" s="123" t="s">
        <v>50</v>
      </c>
      <c r="L108" s="86">
        <f>Countif(N1:N83,"Poço")</f>
        <v>0</v>
      </c>
      <c r="M108" s="89">
        <f>((75/3)*L108)</f>
        <v>0</v>
      </c>
      <c r="N108" s="81"/>
      <c r="O108" s="82"/>
      <c r="Q108" s="90" t="s">
        <v>50</v>
      </c>
      <c r="R108" s="76">
        <f t="shared" si="4"/>
        <v>0</v>
      </c>
    </row>
    <row r="109" ht="22.5" customHeight="1">
      <c r="C109" s="124"/>
      <c r="D109" s="122" t="s">
        <v>24</v>
      </c>
      <c r="E109" s="88">
        <f>Countif(G2:G87,"Pedro")</f>
        <v>3</v>
      </c>
      <c r="F109" s="125">
        <f t="shared" si="2"/>
        <v>75</v>
      </c>
      <c r="G109" s="126"/>
      <c r="H109" s="127"/>
      <c r="J109" s="91"/>
      <c r="K109" s="123" t="s">
        <v>24</v>
      </c>
      <c r="L109" s="128">
        <f>Countif(N2:N83,"Pedro")</f>
        <v>0</v>
      </c>
      <c r="M109" s="129">
        <f>((60/3)*L109)</f>
        <v>0</v>
      </c>
      <c r="N109" s="130"/>
      <c r="O109" s="127"/>
      <c r="Q109" s="131" t="s">
        <v>48</v>
      </c>
      <c r="R109" s="76">
        <f t="shared" si="4"/>
        <v>75</v>
      </c>
    </row>
    <row r="110">
      <c r="H110" s="132">
        <f>SUM(H93:H108)</f>
        <v>5625</v>
      </c>
      <c r="O110" s="132">
        <f>SUM(O93:O108)</f>
        <v>945</v>
      </c>
      <c r="Q110" s="133"/>
      <c r="R110" s="134">
        <f>SUM(H110+O110)</f>
        <v>6570</v>
      </c>
    </row>
    <row r="111">
      <c r="H111" s="135"/>
      <c r="O111" s="135"/>
      <c r="Q111" s="133"/>
      <c r="R111" s="135"/>
    </row>
    <row r="114" ht="22.5" customHeight="1">
      <c r="D114" s="136" t="s">
        <v>36</v>
      </c>
      <c r="E114" s="136" t="s">
        <v>37</v>
      </c>
      <c r="F114" s="136" t="s">
        <v>38</v>
      </c>
      <c r="G114" s="137" t="s">
        <v>40</v>
      </c>
      <c r="J114" s="138" t="s">
        <v>6</v>
      </c>
      <c r="K114" s="100" t="s">
        <v>51</v>
      </c>
      <c r="Q114" s="139" t="s">
        <v>52</v>
      </c>
    </row>
    <row r="115" ht="22.5" customHeight="1">
      <c r="C115" s="140" t="s">
        <v>53</v>
      </c>
      <c r="D115" s="141" t="s">
        <v>54</v>
      </c>
      <c r="E115" s="142">
        <f>COUNTIF(E40:E86,"Medicina")</f>
        <v>0</v>
      </c>
      <c r="F115" s="143">
        <f t="shared" ref="F115:F117" si="7">((60/3)*E115)</f>
        <v>0</v>
      </c>
      <c r="G115" s="144">
        <f>SUM(F115:F117)</f>
        <v>0</v>
      </c>
      <c r="J115" s="145" t="s">
        <v>55</v>
      </c>
      <c r="K115" s="146">
        <v>20.0</v>
      </c>
      <c r="P115" s="147"/>
      <c r="Q115" s="148" t="s">
        <v>56</v>
      </c>
      <c r="R115" s="149"/>
    </row>
    <row r="116" ht="22.5" customHeight="1">
      <c r="C116" s="116"/>
      <c r="D116" s="150" t="s">
        <v>57</v>
      </c>
      <c r="E116" s="88">
        <f>COUNTIF(E40:E86,"Literatus")</f>
        <v>0</v>
      </c>
      <c r="F116" s="151">
        <f t="shared" si="7"/>
        <v>0</v>
      </c>
      <c r="G116" s="152"/>
      <c r="J116" s="153" t="s">
        <v>58</v>
      </c>
      <c r="K116" s="154">
        <v>20.0</v>
      </c>
      <c r="P116" s="155"/>
      <c r="Q116" s="156" t="s">
        <v>59</v>
      </c>
      <c r="R116" s="157"/>
    </row>
    <row r="117" ht="22.5" customHeight="1">
      <c r="C117" s="124"/>
      <c r="D117" s="158" t="s">
        <v>60</v>
      </c>
      <c r="E117" s="159">
        <f>COUNTIF(E40:E86,"Enfermagem")</f>
        <v>0</v>
      </c>
      <c r="F117" s="160">
        <f t="shared" si="7"/>
        <v>0</v>
      </c>
      <c r="G117" s="161"/>
      <c r="J117" s="153" t="s">
        <v>61</v>
      </c>
      <c r="K117" s="154">
        <v>20.0</v>
      </c>
      <c r="P117" s="162"/>
      <c r="Q117" s="156" t="s">
        <v>62</v>
      </c>
      <c r="R117" s="157"/>
    </row>
    <row r="118" ht="22.5" customHeight="1">
      <c r="G118" s="163">
        <f>SUM(G115:G117)</f>
        <v>0</v>
      </c>
      <c r="J118" s="164" t="s">
        <v>63</v>
      </c>
      <c r="K118" s="165">
        <v>20.0</v>
      </c>
      <c r="P118" s="166"/>
      <c r="Q118" s="148" t="s">
        <v>64</v>
      </c>
      <c r="R118" s="149"/>
    </row>
    <row r="119">
      <c r="G119" s="161"/>
      <c r="P119" s="167" t="s">
        <v>65</v>
      </c>
      <c r="Q119" s="156" t="s">
        <v>66</v>
      </c>
      <c r="R119" s="157"/>
    </row>
    <row r="120">
      <c r="P120" s="168" t="s">
        <v>65</v>
      </c>
      <c r="Q120" s="148" t="s">
        <v>67</v>
      </c>
      <c r="R120" s="157"/>
    </row>
    <row r="121">
      <c r="P121" s="169" t="s">
        <v>28</v>
      </c>
      <c r="Q121" s="148" t="s">
        <v>68</v>
      </c>
      <c r="R121" s="157"/>
    </row>
    <row r="122">
      <c r="P122" s="170"/>
      <c r="Q122" s="156" t="s">
        <v>69</v>
      </c>
      <c r="R122" s="157"/>
    </row>
    <row r="123">
      <c r="P123" s="171" t="s">
        <v>65</v>
      </c>
      <c r="Q123" s="148" t="s">
        <v>70</v>
      </c>
      <c r="R123" s="157"/>
    </row>
    <row r="124">
      <c r="P124" s="172">
        <v>46.0</v>
      </c>
      <c r="Q124" s="156" t="s">
        <v>71</v>
      </c>
      <c r="R124" s="157"/>
    </row>
  </sheetData>
  <mergeCells count="127">
    <mergeCell ref="J39:J40"/>
    <mergeCell ref="K39:K40"/>
    <mergeCell ref="I33:I34"/>
    <mergeCell ref="J33:J34"/>
    <mergeCell ref="K33:K34"/>
    <mergeCell ref="I36:I37"/>
    <mergeCell ref="J36:J37"/>
    <mergeCell ref="K36:K37"/>
    <mergeCell ref="I39:I40"/>
    <mergeCell ref="I69:I70"/>
    <mergeCell ref="J69:J70"/>
    <mergeCell ref="K69:K70"/>
    <mergeCell ref="I72:I73"/>
    <mergeCell ref="J72:J73"/>
    <mergeCell ref="K72:K73"/>
    <mergeCell ref="I75:I76"/>
    <mergeCell ref="J75:J76"/>
    <mergeCell ref="K75:K76"/>
    <mergeCell ref="G93:G99"/>
    <mergeCell ref="H93:H99"/>
    <mergeCell ref="J93:J99"/>
    <mergeCell ref="N93:N99"/>
    <mergeCell ref="O93:O99"/>
    <mergeCell ref="N100:N105"/>
    <mergeCell ref="N106:N109"/>
    <mergeCell ref="O110:O111"/>
    <mergeCell ref="R110:R111"/>
    <mergeCell ref="Q114:R114"/>
    <mergeCell ref="H106:H109"/>
    <mergeCell ref="H110:H111"/>
    <mergeCell ref="G115:G117"/>
    <mergeCell ref="G118:G119"/>
    <mergeCell ref="G100:G105"/>
    <mergeCell ref="H100:H105"/>
    <mergeCell ref="J100:J105"/>
    <mergeCell ref="O100:O105"/>
    <mergeCell ref="G106:G109"/>
    <mergeCell ref="J106:J109"/>
    <mergeCell ref="O106:O109"/>
    <mergeCell ref="C28:C30"/>
    <mergeCell ref="C31:C32"/>
    <mergeCell ref="C33:C35"/>
    <mergeCell ref="C36:C38"/>
    <mergeCell ref="C39:C41"/>
    <mergeCell ref="C42:C43"/>
    <mergeCell ref="C44:C45"/>
    <mergeCell ref="C46:C48"/>
    <mergeCell ref="C49:C50"/>
    <mergeCell ref="B51:B53"/>
    <mergeCell ref="C51:C53"/>
    <mergeCell ref="B54:B56"/>
    <mergeCell ref="C54:C56"/>
    <mergeCell ref="C57:C59"/>
    <mergeCell ref="B75:B77"/>
    <mergeCell ref="B78:B79"/>
    <mergeCell ref="B80:B82"/>
    <mergeCell ref="B85:B86"/>
    <mergeCell ref="B57:B59"/>
    <mergeCell ref="B60:B61"/>
    <mergeCell ref="B62:B63"/>
    <mergeCell ref="B64:B66"/>
    <mergeCell ref="B67:B68"/>
    <mergeCell ref="B69:B71"/>
    <mergeCell ref="B72:B74"/>
    <mergeCell ref="C78:C79"/>
    <mergeCell ref="C80:C82"/>
    <mergeCell ref="C85:C86"/>
    <mergeCell ref="C93:C99"/>
    <mergeCell ref="C100:C105"/>
    <mergeCell ref="C106:C109"/>
    <mergeCell ref="C115:C117"/>
    <mergeCell ref="C60:C61"/>
    <mergeCell ref="C62:C63"/>
    <mergeCell ref="C64:C66"/>
    <mergeCell ref="C67:C68"/>
    <mergeCell ref="C69:C71"/>
    <mergeCell ref="C72:C74"/>
    <mergeCell ref="C75:C77"/>
    <mergeCell ref="B1:C1"/>
    <mergeCell ref="B2:G2"/>
    <mergeCell ref="J2:K2"/>
    <mergeCell ref="I3:N3"/>
    <mergeCell ref="B4:B5"/>
    <mergeCell ref="C4:C5"/>
    <mergeCell ref="C6:C8"/>
    <mergeCell ref="B6:B8"/>
    <mergeCell ref="B9:B11"/>
    <mergeCell ref="C9:C11"/>
    <mergeCell ref="B12:B13"/>
    <mergeCell ref="C12:C13"/>
    <mergeCell ref="B14:B16"/>
    <mergeCell ref="C14:C16"/>
    <mergeCell ref="J20:J21"/>
    <mergeCell ref="K20:K21"/>
    <mergeCell ref="B17:B19"/>
    <mergeCell ref="C17:C19"/>
    <mergeCell ref="B20:B22"/>
    <mergeCell ref="C20:C22"/>
    <mergeCell ref="B23:B24"/>
    <mergeCell ref="C23:C24"/>
    <mergeCell ref="C25:C27"/>
    <mergeCell ref="I14:I15"/>
    <mergeCell ref="J14:J15"/>
    <mergeCell ref="K14:K15"/>
    <mergeCell ref="I17:I18"/>
    <mergeCell ref="J17:J18"/>
    <mergeCell ref="K17:K18"/>
    <mergeCell ref="I20:I21"/>
    <mergeCell ref="B25:B27"/>
    <mergeCell ref="B28:B30"/>
    <mergeCell ref="B31:B32"/>
    <mergeCell ref="B33:B35"/>
    <mergeCell ref="B36:B38"/>
    <mergeCell ref="B39:B41"/>
    <mergeCell ref="B42:B43"/>
    <mergeCell ref="J54:J55"/>
    <mergeCell ref="K54:K55"/>
    <mergeCell ref="I57:I58"/>
    <mergeCell ref="J57:J58"/>
    <mergeCell ref="K57:K58"/>
    <mergeCell ref="B44:B45"/>
    <mergeCell ref="B46:B48"/>
    <mergeCell ref="B49:B50"/>
    <mergeCell ref="I51:I52"/>
    <mergeCell ref="J51:J52"/>
    <mergeCell ref="K51:K52"/>
    <mergeCell ref="I54:I55"/>
  </mergeCells>
  <conditionalFormatting sqref="C114">
    <cfRule type="notContainsBlanks" dxfId="7" priority="1">
      <formula>LEN(TRIM(C114))&gt;0</formula>
    </cfRule>
  </conditionalFormatting>
  <dataValidations>
    <dataValidation type="list" allowBlank="1" showErrorMessage="1" sqref="P122">
      <formula1>" -"</formula1>
    </dataValidation>
    <dataValidation type="list" allowBlank="1" showErrorMessage="1" sqref="P119">
      <formula1>"Nome"</formula1>
    </dataValidation>
    <dataValidation type="list" allowBlank="1" showErrorMessage="1" sqref="K14 K20 K33 K39 K51 K57 K69 K75">
      <formula1>"17h00,19h00,17h30"</formula1>
    </dataValidation>
    <dataValidation type="list" allowBlank="1" showErrorMessage="1" sqref="M14 M17 M20 M33 M36 M39 M51 M54 M57 M69 M72 M75 F4:F86">
      <formula1>"Gift,Monte,Sorte,Afonso,Geni,JP,-"</formula1>
    </dataValidation>
    <dataValidation type="list" allowBlank="1" showErrorMessage="1" sqref="K17 K36 K54 K72">
      <formula1>"17h30,19h00,18h30"</formula1>
    </dataValidation>
    <dataValidation type="list" allowBlank="1" showErrorMessage="1" sqref="L14:L15 L17:L18 L20:L21 L33:L34 L36:L37 L39:L40 L51:L52 L54:L55 L57:L58 L69:L70 L72:L73 L75:L76">
      <formula1>"Tuna,Pipo,Mira,Pablo,Tavares,Guilherme,Medicina,Literatus,Enfermagem,-"</formula1>
    </dataValidation>
    <dataValidation type="list" allowBlank="1" showErrorMessage="1" sqref="E4:E86">
      <formula1>"Tuna,Pipo,Mira,Pablo,Tavares,Marco Paulo,Sobral,Medicina,Literatus,Enfermagem,-"</formula1>
    </dataValidation>
    <dataValidation type="custom" allowBlank="1" showDropDown="1" sqref="F93:F109 M93:M109 F115:F117 K115:K118">
      <formula1>AND(ISNUMBER(F93),(NOT(OR(NOT(ISERROR(DATEVALUE(F93))), AND(ISNUMBER(F93), LEFT(CELL("format", F93))="D")))))</formula1>
    </dataValidation>
    <dataValidation type="list" allowBlank="1" showErrorMessage="1" sqref="N14 N17 N20 N33 N36 N39 N51 N54 N57 N69 N72 N75 G4:G86">
      <formula1>"Apostas,Prodígio,Poço,Pedro,-"</formula1>
    </dataValidation>
    <dataValidation type="list" allowBlank="1" showErrorMessage="1" sqref="P121">
      <formula1>"-"</formula1>
    </dataValidation>
    <dataValidation type="list" allowBlank="1" showErrorMessage="1" sqref="D4:D86">
      <formula1>"16h00,19h00,18h00,19h30,21h00,21h15,21h30"</formula1>
    </dataValidation>
    <dataValidation type="list" allowBlank="1" showErrorMessage="1" sqref="P120">
      <formula1>"Nome"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3.5"/>
    <col customWidth="1" min="3" max="4" width="15.13"/>
    <col customWidth="1" min="5" max="5" width="20.13"/>
    <col customWidth="1" min="6" max="6" width="15.13"/>
  </cols>
  <sheetData>
    <row r="1" ht="22.5" customHeight="1">
      <c r="A1" s="173" t="s">
        <v>72</v>
      </c>
      <c r="B1" s="173" t="s">
        <v>30</v>
      </c>
      <c r="C1" s="173" t="s">
        <v>22</v>
      </c>
      <c r="D1" s="174" t="s">
        <v>43</v>
      </c>
      <c r="E1" s="174" t="s">
        <v>44</v>
      </c>
      <c r="F1" s="175" t="s">
        <v>13</v>
      </c>
    </row>
    <row r="2" ht="22.5" customHeight="1">
      <c r="A2" s="176" t="s">
        <v>73</v>
      </c>
      <c r="B2" s="177"/>
      <c r="C2" s="177"/>
      <c r="D2" s="177"/>
      <c r="E2" s="178" t="s">
        <v>74</v>
      </c>
      <c r="F2" s="177"/>
    </row>
    <row r="3" ht="22.5" customHeight="1">
      <c r="A3" s="176" t="s">
        <v>75</v>
      </c>
      <c r="B3" s="177"/>
      <c r="C3" s="177"/>
      <c r="D3" s="177" t="s">
        <v>76</v>
      </c>
      <c r="E3" s="177"/>
      <c r="F3" s="177"/>
    </row>
    <row r="4" ht="22.5" customHeight="1">
      <c r="A4" s="176" t="s">
        <v>77</v>
      </c>
      <c r="B4" s="178" t="s">
        <v>74</v>
      </c>
      <c r="C4" s="179" t="s">
        <v>78</v>
      </c>
      <c r="D4" s="179"/>
      <c r="E4" s="179" t="s">
        <v>78</v>
      </c>
      <c r="F4" s="178"/>
    </row>
    <row r="5" ht="22.5" customHeight="1">
      <c r="A5" s="176" t="s">
        <v>79</v>
      </c>
      <c r="B5" s="177"/>
      <c r="C5" s="177"/>
      <c r="D5" s="178" t="s">
        <v>80</v>
      </c>
      <c r="E5" s="177"/>
      <c r="F5" s="177"/>
    </row>
    <row r="6" ht="22.5" customHeight="1">
      <c r="A6" s="176" t="s">
        <v>81</v>
      </c>
      <c r="B6" s="177"/>
      <c r="C6" s="177"/>
      <c r="D6" s="177" t="s">
        <v>74</v>
      </c>
      <c r="E6" s="177"/>
      <c r="F6" s="177"/>
    </row>
    <row r="7" ht="22.5" customHeight="1">
      <c r="A7" s="176" t="s">
        <v>82</v>
      </c>
      <c r="B7" s="177"/>
      <c r="C7" s="177"/>
      <c r="D7" s="177"/>
      <c r="E7" s="178" t="s">
        <v>83</v>
      </c>
      <c r="F7" s="177"/>
    </row>
    <row r="8" ht="22.5" customHeight="1">
      <c r="A8" s="176" t="s">
        <v>84</v>
      </c>
      <c r="B8" s="178" t="s">
        <v>85</v>
      </c>
      <c r="C8" s="179"/>
      <c r="D8" s="179" t="s">
        <v>86</v>
      </c>
      <c r="E8" s="179"/>
      <c r="F8" s="178"/>
    </row>
    <row r="9" ht="22.5" customHeight="1">
      <c r="A9" s="176" t="s">
        <v>87</v>
      </c>
      <c r="B9" s="177"/>
      <c r="C9" s="177"/>
      <c r="D9" s="177" t="s">
        <v>88</v>
      </c>
      <c r="E9" s="177"/>
      <c r="F9" s="177"/>
    </row>
    <row r="10" ht="22.5" customHeight="1">
      <c r="A10" s="176" t="s">
        <v>89</v>
      </c>
      <c r="B10" s="177"/>
      <c r="C10" s="177"/>
      <c r="D10" s="177" t="s">
        <v>90</v>
      </c>
      <c r="E10" s="177"/>
      <c r="F10" s="177"/>
    </row>
    <row r="11" ht="22.5" customHeight="1">
      <c r="A11" s="176" t="s">
        <v>91</v>
      </c>
      <c r="B11" s="177"/>
      <c r="C11" s="177"/>
      <c r="D11" s="177" t="s">
        <v>92</v>
      </c>
      <c r="E11" s="177"/>
      <c r="F11" s="177"/>
    </row>
    <row r="12" ht="22.5" customHeight="1">
      <c r="A12" s="176" t="s">
        <v>93</v>
      </c>
      <c r="B12" s="178" t="s">
        <v>94</v>
      </c>
      <c r="C12" s="179" t="s">
        <v>80</v>
      </c>
      <c r="D12" s="179" t="s">
        <v>80</v>
      </c>
      <c r="E12" s="179" t="s">
        <v>74</v>
      </c>
      <c r="F12" s="178"/>
    </row>
    <row r="13" ht="22.5" customHeight="1">
      <c r="A13" s="176" t="s">
        <v>95</v>
      </c>
      <c r="B13" s="178" t="s">
        <v>94</v>
      </c>
      <c r="C13" s="179"/>
      <c r="D13" s="179" t="s">
        <v>80</v>
      </c>
      <c r="E13" s="179"/>
      <c r="F13" s="178"/>
    </row>
    <row r="14" ht="22.5" customHeight="1">
      <c r="A14" s="176" t="s">
        <v>96</v>
      </c>
      <c r="B14" s="177"/>
      <c r="C14" s="177"/>
      <c r="D14" s="178" t="s">
        <v>80</v>
      </c>
      <c r="E14" s="177"/>
      <c r="F14" s="177"/>
    </row>
    <row r="15" ht="22.5" customHeight="1">
      <c r="A15" s="176" t="s">
        <v>97</v>
      </c>
      <c r="B15" s="177"/>
      <c r="C15" s="177"/>
      <c r="D15" s="177" t="s">
        <v>98</v>
      </c>
      <c r="E15" s="177"/>
      <c r="F15" s="177"/>
    </row>
    <row r="16" ht="22.5" customHeight="1">
      <c r="A16" s="176" t="s">
        <v>99</v>
      </c>
      <c r="B16" s="177"/>
      <c r="C16" s="177"/>
      <c r="D16" s="177"/>
      <c r="E16" s="178" t="s">
        <v>78</v>
      </c>
      <c r="F16" s="177"/>
    </row>
    <row r="17" ht="22.5" customHeight="1">
      <c r="A17" s="176" t="s">
        <v>100</v>
      </c>
      <c r="B17" s="177"/>
      <c r="C17" s="177"/>
      <c r="D17" s="178" t="s">
        <v>98</v>
      </c>
      <c r="E17" s="177"/>
      <c r="F17" s="177"/>
    </row>
    <row r="18" ht="22.5" customHeight="1">
      <c r="A18" s="176" t="s">
        <v>101</v>
      </c>
      <c r="B18" s="178" t="s">
        <v>98</v>
      </c>
      <c r="C18" s="179"/>
      <c r="D18" s="179" t="s">
        <v>98</v>
      </c>
      <c r="E18" s="179"/>
      <c r="F18" s="178"/>
    </row>
    <row r="19" ht="22.5" customHeight="1">
      <c r="A19" s="176" t="s">
        <v>102</v>
      </c>
      <c r="B19" s="177"/>
      <c r="C19" s="177"/>
      <c r="D19" s="177"/>
      <c r="E19" s="178" t="s">
        <v>78</v>
      </c>
      <c r="F19" s="177"/>
    </row>
    <row r="20" ht="22.5" customHeight="1">
      <c r="A20" s="176" t="s">
        <v>103</v>
      </c>
      <c r="B20" s="178" t="s">
        <v>104</v>
      </c>
      <c r="C20" s="179"/>
      <c r="D20" s="179"/>
      <c r="E20" s="179"/>
      <c r="F20" s="178"/>
    </row>
    <row r="21" ht="22.5" customHeight="1">
      <c r="A21" s="176" t="s">
        <v>105</v>
      </c>
      <c r="B21" s="177"/>
      <c r="C21" s="177"/>
      <c r="D21" s="178" t="s">
        <v>106</v>
      </c>
      <c r="E21" s="177"/>
      <c r="F21" s="177"/>
    </row>
    <row r="22" ht="22.5" customHeight="1">
      <c r="A22" s="176" t="s">
        <v>107</v>
      </c>
      <c r="B22" s="177"/>
      <c r="C22" s="177"/>
      <c r="D22" s="177" t="s">
        <v>90</v>
      </c>
      <c r="E22" s="177" t="s">
        <v>78</v>
      </c>
      <c r="F22" s="177"/>
    </row>
    <row r="23" ht="22.5" customHeight="1">
      <c r="A23" s="176" t="s">
        <v>108</v>
      </c>
      <c r="B23" s="177"/>
      <c r="C23" s="177"/>
      <c r="D23" s="177"/>
      <c r="E23" s="177"/>
      <c r="F23" s="177"/>
    </row>
    <row r="24" ht="22.5" customHeight="1">
      <c r="A24" s="176" t="s">
        <v>109</v>
      </c>
      <c r="B24" s="177"/>
      <c r="C24" s="177"/>
      <c r="D24" s="177"/>
      <c r="E24" s="178" t="s">
        <v>106</v>
      </c>
      <c r="F24" s="177"/>
    </row>
    <row r="25" ht="22.5" customHeight="1">
      <c r="A25" s="176" t="s">
        <v>110</v>
      </c>
      <c r="B25" s="177"/>
      <c r="C25" s="177"/>
      <c r="D25" s="177"/>
      <c r="E25" s="178" t="s">
        <v>98</v>
      </c>
      <c r="F25" s="177"/>
    </row>
    <row r="26" ht="22.5" customHeight="1">
      <c r="A26" s="176" t="s">
        <v>111</v>
      </c>
      <c r="B26" s="177"/>
      <c r="C26" s="177"/>
      <c r="D26" s="177"/>
      <c r="E26" s="178" t="s">
        <v>78</v>
      </c>
      <c r="F26" s="177"/>
    </row>
    <row r="27" ht="22.5" customHeight="1">
      <c r="A27" s="176" t="s">
        <v>112</v>
      </c>
      <c r="B27" s="177"/>
      <c r="C27" s="177"/>
      <c r="D27" s="177"/>
      <c r="E27" s="177"/>
      <c r="F27" s="177"/>
    </row>
    <row r="28" ht="22.5" customHeight="1">
      <c r="A28" s="176" t="s">
        <v>113</v>
      </c>
      <c r="B28" s="177"/>
      <c r="C28" s="177" t="s">
        <v>80</v>
      </c>
      <c r="D28" s="177"/>
      <c r="E28" s="177" t="s">
        <v>74</v>
      </c>
      <c r="F28" s="177"/>
    </row>
    <row r="29" ht="22.5" customHeight="1">
      <c r="A29" s="176" t="s">
        <v>114</v>
      </c>
      <c r="B29" s="177"/>
      <c r="C29" s="177"/>
      <c r="D29" s="177"/>
      <c r="E29" s="178" t="s">
        <v>115</v>
      </c>
      <c r="F29" s="177"/>
    </row>
    <row r="30" ht="22.5" customHeight="1">
      <c r="A30" s="176" t="s">
        <v>116</v>
      </c>
      <c r="B30" s="177"/>
      <c r="C30" s="177"/>
      <c r="D30" s="177"/>
      <c r="E30" s="178" t="s">
        <v>74</v>
      </c>
      <c r="F30" s="177"/>
    </row>
    <row r="31" ht="22.5" customHeight="1">
      <c r="A31" s="176" t="s">
        <v>117</v>
      </c>
      <c r="B31" s="177"/>
      <c r="C31" s="177"/>
      <c r="D31" s="178" t="s">
        <v>115</v>
      </c>
      <c r="E31" s="177"/>
      <c r="F31" s="177"/>
    </row>
    <row r="32" ht="22.5" customHeight="1">
      <c r="A32" s="176" t="s">
        <v>118</v>
      </c>
      <c r="B32" s="177"/>
      <c r="C32" s="177"/>
      <c r="D32" s="177"/>
      <c r="E32" s="178" t="s">
        <v>98</v>
      </c>
      <c r="F32" s="177"/>
    </row>
    <row r="33" ht="22.5" customHeight="1">
      <c r="A33" s="176" t="s">
        <v>119</v>
      </c>
      <c r="B33" s="178" t="s">
        <v>76</v>
      </c>
      <c r="C33" s="179" t="s">
        <v>120</v>
      </c>
      <c r="D33" s="179" t="s">
        <v>121</v>
      </c>
      <c r="E33" s="179" t="s">
        <v>98</v>
      </c>
      <c r="F33" s="178"/>
    </row>
    <row r="34" ht="22.5" customHeight="1">
      <c r="A34" s="176" t="s">
        <v>122</v>
      </c>
      <c r="B34" s="177"/>
      <c r="C34" s="177"/>
      <c r="D34" s="177" t="s">
        <v>92</v>
      </c>
      <c r="E34" s="177"/>
      <c r="F34" s="177"/>
    </row>
    <row r="35" ht="22.5" customHeight="1">
      <c r="A35" s="176" t="s">
        <v>123</v>
      </c>
      <c r="B35" s="177"/>
      <c r="C35" s="177"/>
      <c r="D35" s="177" t="s">
        <v>92</v>
      </c>
      <c r="E35" s="177"/>
      <c r="F35" s="177"/>
    </row>
    <row r="36" ht="22.5" customHeight="1">
      <c r="A36" s="176" t="s">
        <v>124</v>
      </c>
      <c r="B36" s="178" t="s">
        <v>125</v>
      </c>
      <c r="C36" s="179"/>
      <c r="D36" s="179"/>
      <c r="E36" s="179"/>
      <c r="F36" s="178"/>
    </row>
    <row r="37" ht="22.5" customHeight="1">
      <c r="A37" s="176" t="s">
        <v>126</v>
      </c>
      <c r="B37" s="178" t="s">
        <v>94</v>
      </c>
      <c r="C37" s="179" t="s">
        <v>80</v>
      </c>
      <c r="D37" s="179" t="s">
        <v>127</v>
      </c>
      <c r="E37" s="179" t="s">
        <v>74</v>
      </c>
      <c r="F37" s="178"/>
    </row>
    <row r="38" ht="22.5" customHeight="1">
      <c r="A38" s="176" t="s">
        <v>128</v>
      </c>
      <c r="B38" s="178" t="s">
        <v>74</v>
      </c>
      <c r="C38" s="179" t="s">
        <v>74</v>
      </c>
      <c r="D38" s="179" t="s">
        <v>74</v>
      </c>
      <c r="E38" s="179" t="s">
        <v>74</v>
      </c>
      <c r="F38" s="178"/>
    </row>
    <row r="39" ht="22.5" customHeight="1">
      <c r="A39" s="176" t="s">
        <v>129</v>
      </c>
      <c r="B39" s="177"/>
      <c r="C39" s="177"/>
      <c r="D39" s="178" t="s">
        <v>86</v>
      </c>
      <c r="E39" s="177"/>
      <c r="F39" s="177"/>
    </row>
    <row r="40" ht="22.5" customHeight="1">
      <c r="A40" s="176" t="s">
        <v>130</v>
      </c>
      <c r="B40" s="177"/>
      <c r="C40" s="177"/>
      <c r="D40" s="177"/>
      <c r="E40" s="178" t="s">
        <v>78</v>
      </c>
      <c r="F40" s="177"/>
    </row>
    <row r="41" ht="22.5" customHeight="1">
      <c r="A41" s="176" t="s">
        <v>131</v>
      </c>
      <c r="B41" s="177"/>
      <c r="C41" s="177"/>
      <c r="D41" s="177" t="s">
        <v>132</v>
      </c>
      <c r="E41" s="177"/>
      <c r="F41" s="177"/>
    </row>
    <row r="42" ht="22.5" customHeight="1">
      <c r="A42" s="176" t="s">
        <v>133</v>
      </c>
      <c r="B42" s="177"/>
      <c r="C42" s="177"/>
      <c r="D42" s="177"/>
      <c r="E42" s="178" t="s">
        <v>74</v>
      </c>
      <c r="F42" s="177"/>
    </row>
    <row r="43" ht="22.5" customHeight="1">
      <c r="A43" s="176" t="s">
        <v>134</v>
      </c>
      <c r="B43" s="178" t="s">
        <v>135</v>
      </c>
      <c r="C43" s="179" t="s">
        <v>136</v>
      </c>
      <c r="D43" s="179" t="s">
        <v>136</v>
      </c>
      <c r="E43" s="179"/>
      <c r="F43" s="178"/>
    </row>
    <row r="44" ht="22.5" customHeight="1">
      <c r="A44" s="176" t="s">
        <v>137</v>
      </c>
      <c r="B44" s="177"/>
      <c r="C44" s="177"/>
      <c r="D44" s="177"/>
      <c r="E44" s="178" t="s">
        <v>74</v>
      </c>
      <c r="F44" s="177"/>
    </row>
    <row r="45" ht="22.5" customHeight="1">
      <c r="A45" s="176" t="s">
        <v>138</v>
      </c>
      <c r="B45" s="178" t="s">
        <v>78</v>
      </c>
      <c r="C45" s="179" t="s">
        <v>78</v>
      </c>
      <c r="D45" s="179"/>
      <c r="E45" s="179"/>
      <c r="F45" s="178"/>
    </row>
    <row r="46" ht="22.5" customHeight="1">
      <c r="A46" s="176" t="s">
        <v>139</v>
      </c>
      <c r="B46" s="177"/>
      <c r="C46" s="177"/>
      <c r="D46" s="177"/>
      <c r="E46" s="178" t="s">
        <v>98</v>
      </c>
      <c r="F46" s="177"/>
    </row>
    <row r="47" ht="22.5" customHeight="1">
      <c r="A47" s="176" t="s">
        <v>140</v>
      </c>
      <c r="B47" s="177"/>
      <c r="C47" s="177"/>
      <c r="D47" s="177" t="s">
        <v>90</v>
      </c>
      <c r="E47" s="177"/>
      <c r="F47" s="177"/>
    </row>
    <row r="48" ht="22.5" customHeight="1">
      <c r="A48" s="176" t="s">
        <v>141</v>
      </c>
      <c r="B48" s="177"/>
      <c r="C48" s="177"/>
      <c r="D48" s="177" t="s">
        <v>78</v>
      </c>
      <c r="E48" s="177"/>
      <c r="F48" s="177"/>
    </row>
    <row r="49" ht="22.5" customHeight="1">
      <c r="A49" s="176" t="s">
        <v>142</v>
      </c>
      <c r="B49" s="178" t="s">
        <v>98</v>
      </c>
      <c r="C49" s="179"/>
      <c r="D49" s="179" t="s">
        <v>98</v>
      </c>
      <c r="E49" s="179" t="s">
        <v>98</v>
      </c>
      <c r="F49" s="178"/>
    </row>
    <row r="50" ht="22.5" customHeight="1">
      <c r="A50" s="176" t="s">
        <v>143</v>
      </c>
      <c r="B50" s="178" t="s">
        <v>85</v>
      </c>
      <c r="C50" s="179"/>
      <c r="D50" s="179"/>
      <c r="E50" s="179"/>
      <c r="F50" s="178"/>
    </row>
    <row r="51" ht="22.5" customHeight="1">
      <c r="A51" s="176" t="s">
        <v>144</v>
      </c>
      <c r="B51" s="177"/>
      <c r="C51" s="177"/>
      <c r="D51" s="177"/>
      <c r="E51" s="178" t="s">
        <v>74</v>
      </c>
      <c r="F51" s="177"/>
    </row>
    <row r="52" ht="22.5" customHeight="1">
      <c r="A52" s="176" t="s">
        <v>145</v>
      </c>
      <c r="B52" s="177"/>
      <c r="C52" s="177"/>
      <c r="D52" s="177"/>
      <c r="E52" s="178" t="s">
        <v>115</v>
      </c>
      <c r="F52" s="177"/>
    </row>
    <row r="53" ht="22.5" customHeight="1">
      <c r="A53" s="176" t="s">
        <v>146</v>
      </c>
      <c r="B53" s="177"/>
      <c r="C53" s="177"/>
      <c r="D53" s="177"/>
      <c r="E53" s="178" t="s">
        <v>98</v>
      </c>
      <c r="F53" s="177"/>
    </row>
    <row r="54" ht="22.5" customHeight="1">
      <c r="A54" s="176" t="s">
        <v>147</v>
      </c>
      <c r="B54" s="177"/>
      <c r="C54" s="177" t="s">
        <v>148</v>
      </c>
      <c r="D54" s="177" t="s">
        <v>149</v>
      </c>
      <c r="E54" s="178" t="s">
        <v>78</v>
      </c>
      <c r="F54" s="177"/>
    </row>
    <row r="55" ht="22.5" customHeight="1">
      <c r="A55" s="176" t="s">
        <v>150</v>
      </c>
      <c r="B55" s="177"/>
      <c r="C55" s="177"/>
      <c r="D55" s="177" t="s">
        <v>76</v>
      </c>
      <c r="E55" s="177" t="s">
        <v>76</v>
      </c>
      <c r="F55" s="177"/>
    </row>
    <row r="56" ht="22.5" customHeight="1">
      <c r="A56" s="176" t="s">
        <v>151</v>
      </c>
      <c r="B56" s="177"/>
      <c r="C56" s="177"/>
      <c r="D56" s="178" t="s">
        <v>152</v>
      </c>
      <c r="E56" s="177"/>
      <c r="F56" s="177"/>
    </row>
    <row r="57" ht="22.5" customHeight="1">
      <c r="A57" s="176" t="s">
        <v>153</v>
      </c>
      <c r="B57" s="177"/>
      <c r="C57" s="177"/>
      <c r="D57" s="177"/>
      <c r="E57" s="178" t="s">
        <v>74</v>
      </c>
      <c r="F57" s="177"/>
    </row>
    <row r="58" ht="22.5" customHeight="1">
      <c r="A58" s="176" t="s">
        <v>154</v>
      </c>
      <c r="B58" s="178" t="s">
        <v>98</v>
      </c>
      <c r="C58" s="179"/>
      <c r="D58" s="179" t="s">
        <v>98</v>
      </c>
      <c r="E58" s="179" t="s">
        <v>98</v>
      </c>
      <c r="F58" s="178"/>
    </row>
    <row r="59" ht="22.5" customHeight="1">
      <c r="A59" s="176" t="s">
        <v>155</v>
      </c>
      <c r="B59" s="177"/>
      <c r="C59" s="177"/>
      <c r="D59" s="177" t="s">
        <v>78</v>
      </c>
      <c r="E59" s="177" t="s">
        <v>78</v>
      </c>
      <c r="F59" s="177"/>
    </row>
    <row r="60" ht="22.5" customHeight="1">
      <c r="A60" s="176" t="s">
        <v>156</v>
      </c>
      <c r="B60" s="177"/>
      <c r="C60" s="177"/>
      <c r="D60" s="177" t="s">
        <v>157</v>
      </c>
      <c r="E60" s="178" t="s">
        <v>78</v>
      </c>
      <c r="F60" s="177"/>
    </row>
    <row r="61" ht="22.5" customHeight="1">
      <c r="A61" s="176" t="s">
        <v>158</v>
      </c>
      <c r="B61" s="178" t="s">
        <v>76</v>
      </c>
      <c r="C61" s="179" t="s">
        <v>120</v>
      </c>
      <c r="D61" s="179" t="s">
        <v>159</v>
      </c>
      <c r="E61" s="179" t="s">
        <v>98</v>
      </c>
      <c r="F61" s="178"/>
    </row>
    <row r="62" ht="22.5" customHeight="1">
      <c r="A62" s="176" t="s">
        <v>160</v>
      </c>
      <c r="B62" s="177"/>
      <c r="C62" s="177"/>
      <c r="D62" s="177" t="s">
        <v>76</v>
      </c>
      <c r="E62" s="177" t="s">
        <v>76</v>
      </c>
      <c r="F62" s="177"/>
    </row>
    <row r="63" ht="22.5" customHeight="1">
      <c r="A63" s="176" t="s">
        <v>161</v>
      </c>
      <c r="B63" s="178" t="s">
        <v>78</v>
      </c>
      <c r="C63" s="179" t="s">
        <v>78</v>
      </c>
      <c r="D63" s="179" t="s">
        <v>78</v>
      </c>
      <c r="E63" s="179"/>
      <c r="F63" s="178"/>
    </row>
    <row r="64" ht="22.5" customHeight="1">
      <c r="A64" s="176" t="s">
        <v>162</v>
      </c>
      <c r="B64" s="177"/>
      <c r="C64" s="177"/>
      <c r="D64" s="177" t="s">
        <v>88</v>
      </c>
      <c r="E64" s="178" t="s">
        <v>98</v>
      </c>
      <c r="F64" s="177"/>
    </row>
    <row r="65" ht="22.5" customHeight="1">
      <c r="A65" s="176" t="s">
        <v>163</v>
      </c>
      <c r="B65" s="177"/>
      <c r="C65" s="177"/>
      <c r="D65" s="177"/>
      <c r="E65" s="178" t="s">
        <v>78</v>
      </c>
      <c r="F65" s="177"/>
    </row>
    <row r="66" ht="22.5" customHeight="1">
      <c r="A66" s="176" t="s">
        <v>164</v>
      </c>
      <c r="B66" s="177"/>
      <c r="C66" s="177"/>
      <c r="D66" s="177" t="s">
        <v>92</v>
      </c>
      <c r="E66" s="177"/>
      <c r="F66" s="177"/>
    </row>
    <row r="67" ht="22.5" customHeight="1">
      <c r="A67" s="176" t="s">
        <v>165</v>
      </c>
      <c r="B67" s="177"/>
      <c r="C67" s="177"/>
      <c r="D67" s="177"/>
      <c r="E67" s="177"/>
      <c r="F67" s="177"/>
    </row>
    <row r="68" ht="22.5" customHeight="1">
      <c r="A68" s="176" t="s">
        <v>166</v>
      </c>
      <c r="B68" s="178" t="s">
        <v>167</v>
      </c>
      <c r="C68" s="179"/>
      <c r="D68" s="179" t="s">
        <v>167</v>
      </c>
      <c r="E68" s="179"/>
      <c r="F68" s="178"/>
    </row>
    <row r="69" ht="22.5" customHeight="1">
      <c r="A69" s="176" t="s">
        <v>168</v>
      </c>
      <c r="B69" s="178" t="s">
        <v>78</v>
      </c>
      <c r="C69" s="179"/>
      <c r="D69" s="179"/>
      <c r="E69" s="179"/>
      <c r="F69" s="178"/>
    </row>
    <row r="70" ht="22.5" customHeight="1">
      <c r="A70" s="176"/>
      <c r="B70" s="177"/>
      <c r="C70" s="177"/>
      <c r="D70" s="177"/>
      <c r="E70" s="179"/>
      <c r="F70" s="180"/>
    </row>
    <row r="71" ht="22.5" hidden="1" customHeight="1">
      <c r="A71" s="176"/>
      <c r="B71" s="177"/>
      <c r="C71" s="177"/>
      <c r="D71" s="177"/>
      <c r="E71" s="178"/>
      <c r="F71" s="180"/>
    </row>
    <row r="72" ht="22.5" hidden="1" customHeight="1">
      <c r="A72" s="176"/>
      <c r="B72" s="177"/>
      <c r="C72" s="177"/>
      <c r="D72" s="177"/>
      <c r="E72" s="179"/>
      <c r="F72" s="180"/>
    </row>
  </sheetData>
  <dataValidations>
    <dataValidation type="list" allowBlank="1" sqref="D2:D72">
      <formula1>"Não iniciada,Em execução,Bloqueada,Concluída"</formula1>
    </dataValidation>
    <dataValidation allowBlank="1" showDropDown="1" sqref="A2:A72"/>
    <dataValidation type="list" allowBlank="1" sqref="B2:B72">
      <formula1>"Não canto,Dó,Dó m,Dó#,Ré,Ré m,Ré#,Mi,Mi m,Fá,Fá m,Fá#,Sol,Sol m,Sol#,Lá,Lá m,Lá#,Si,Si m"</formula1>
    </dataValidation>
    <dataValidation type="list" allowBlank="1" sqref="C2:C72">
      <formula1>"P0,P1,P2,P3"</formula1>
    </dataValidation>
    <dataValidation type="list" allowBlank="1" sqref="E2:E72">
      <formula1>"Não iniciada,Em execução,Bloqueada,Concluída"</formula1>
    </dataValidation>
    <dataValidation type="list" allowBlank="1" sqref="F2:F69">
      <formula1>"Não canto,Dó,Dó m,Dó#,Ré,Ré m,Ré#,Mi,Mi m,Fá,Fá m,Fá#,Sol,Sol m,Sol#,Lá,Lá m,Lá#,Si,Si m"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4.5"/>
    <col customWidth="1" min="7" max="7" width="56.38"/>
    <col customWidth="1" min="8" max="8" width="15.13"/>
  </cols>
  <sheetData>
    <row r="1">
      <c r="A1" s="181"/>
      <c r="B1" s="181"/>
      <c r="C1" s="181"/>
      <c r="D1" s="181"/>
      <c r="E1" s="181"/>
      <c r="F1" s="182">
        <f>TODAY()</f>
        <v>46182</v>
      </c>
      <c r="G1" s="181"/>
    </row>
    <row r="2" ht="22.5" customHeight="1">
      <c r="A2" s="183" t="s">
        <v>169</v>
      </c>
      <c r="B2" s="183" t="s">
        <v>170</v>
      </c>
      <c r="C2" s="183" t="s">
        <v>171</v>
      </c>
      <c r="D2" s="183" t="s">
        <v>172</v>
      </c>
      <c r="E2" s="183" t="s">
        <v>173</v>
      </c>
      <c r="F2" s="183" t="s">
        <v>174</v>
      </c>
      <c r="G2" s="183" t="s">
        <v>175</v>
      </c>
    </row>
    <row r="3" ht="22.5" customHeight="1">
      <c r="A3" s="184" t="s">
        <v>22</v>
      </c>
      <c r="B3" s="185" t="s">
        <v>7</v>
      </c>
      <c r="C3" s="185" t="s">
        <v>176</v>
      </c>
      <c r="D3" s="186" t="s">
        <v>177</v>
      </c>
      <c r="E3" s="178" t="s">
        <v>178</v>
      </c>
      <c r="F3" s="100" t="b">
        <v>0</v>
      </c>
      <c r="G3" s="187" t="s">
        <v>179</v>
      </c>
    </row>
    <row r="4" ht="22.5" customHeight="1">
      <c r="A4" s="184" t="s">
        <v>13</v>
      </c>
      <c r="B4" s="185" t="s">
        <v>7</v>
      </c>
      <c r="C4" s="185" t="s">
        <v>180</v>
      </c>
      <c r="D4" s="186" t="s">
        <v>181</v>
      </c>
      <c r="E4" s="178" t="s">
        <v>178</v>
      </c>
      <c r="F4" s="100" t="b">
        <v>0</v>
      </c>
      <c r="G4" s="187" t="s">
        <v>179</v>
      </c>
    </row>
    <row r="5" ht="22.5" customHeight="1">
      <c r="A5" s="184" t="s">
        <v>30</v>
      </c>
      <c r="B5" s="185" t="s">
        <v>7</v>
      </c>
      <c r="C5" s="185" t="s">
        <v>180</v>
      </c>
      <c r="D5" s="186" t="s">
        <v>182</v>
      </c>
      <c r="E5" s="178" t="s">
        <v>183</v>
      </c>
      <c r="F5" s="100" t="b">
        <v>0</v>
      </c>
      <c r="G5" s="187" t="s">
        <v>179</v>
      </c>
    </row>
    <row r="6" ht="22.5" customHeight="1">
      <c r="A6" s="184" t="s">
        <v>43</v>
      </c>
      <c r="B6" s="185" t="s">
        <v>7</v>
      </c>
      <c r="C6" s="185" t="s">
        <v>180</v>
      </c>
      <c r="D6" s="186" t="s">
        <v>184</v>
      </c>
      <c r="E6" s="178" t="s">
        <v>183</v>
      </c>
      <c r="F6" s="100" t="b">
        <v>0</v>
      </c>
      <c r="G6" s="187" t="s">
        <v>185</v>
      </c>
    </row>
    <row r="7" ht="22.5" customHeight="1">
      <c r="A7" s="184" t="s">
        <v>44</v>
      </c>
      <c r="B7" s="185" t="s">
        <v>7</v>
      </c>
      <c r="C7" s="185" t="s">
        <v>180</v>
      </c>
      <c r="D7" s="186" t="s">
        <v>186</v>
      </c>
      <c r="E7" s="178" t="s">
        <v>183</v>
      </c>
      <c r="F7" s="100" t="b">
        <v>0</v>
      </c>
      <c r="G7" s="187" t="s">
        <v>185</v>
      </c>
    </row>
    <row r="8" ht="22.5" customHeight="1">
      <c r="A8" s="184" t="s">
        <v>45</v>
      </c>
      <c r="B8" s="185" t="s">
        <v>7</v>
      </c>
      <c r="C8" s="185" t="s">
        <v>187</v>
      </c>
      <c r="D8" s="188"/>
      <c r="E8" s="178" t="s">
        <v>183</v>
      </c>
      <c r="F8" s="100" t="b">
        <v>0</v>
      </c>
      <c r="G8" s="187" t="s">
        <v>185</v>
      </c>
    </row>
    <row r="9" ht="22.5" customHeight="1">
      <c r="A9" s="184" t="s">
        <v>19</v>
      </c>
      <c r="B9" s="185" t="s">
        <v>9</v>
      </c>
      <c r="C9" s="185" t="s">
        <v>176</v>
      </c>
      <c r="D9" s="186" t="s">
        <v>188</v>
      </c>
      <c r="E9" s="178" t="s">
        <v>178</v>
      </c>
      <c r="F9" s="100" t="b">
        <v>0</v>
      </c>
      <c r="G9" s="187" t="s">
        <v>179</v>
      </c>
    </row>
    <row r="10" ht="22.5" customHeight="1">
      <c r="A10" s="184" t="s">
        <v>15</v>
      </c>
      <c r="B10" s="185" t="s">
        <v>9</v>
      </c>
      <c r="C10" s="185" t="s">
        <v>176</v>
      </c>
      <c r="D10" s="186" t="s">
        <v>189</v>
      </c>
      <c r="E10" s="178" t="s">
        <v>178</v>
      </c>
      <c r="F10" s="100" t="b">
        <v>0</v>
      </c>
      <c r="G10" s="187" t="s">
        <v>179</v>
      </c>
    </row>
    <row r="11" ht="22.5" customHeight="1">
      <c r="A11" s="184" t="s">
        <v>50</v>
      </c>
      <c r="B11" s="185" t="s">
        <v>9</v>
      </c>
      <c r="C11" s="185" t="s">
        <v>180</v>
      </c>
      <c r="D11" s="186" t="s">
        <v>190</v>
      </c>
      <c r="E11" s="178" t="s">
        <v>183</v>
      </c>
      <c r="F11" s="100" t="b">
        <v>0</v>
      </c>
      <c r="G11" s="187" t="s">
        <v>185</v>
      </c>
    </row>
    <row r="12" ht="22.5" customHeight="1">
      <c r="A12" s="184" t="s">
        <v>24</v>
      </c>
      <c r="B12" s="185" t="s">
        <v>9</v>
      </c>
      <c r="C12" s="185" t="s">
        <v>187</v>
      </c>
      <c r="D12" s="188"/>
      <c r="E12" s="178" t="s">
        <v>183</v>
      </c>
      <c r="F12" s="100" t="b">
        <v>0</v>
      </c>
      <c r="G12" s="187" t="s">
        <v>185</v>
      </c>
    </row>
    <row r="13" ht="22.5" customHeight="1">
      <c r="A13" s="184" t="s">
        <v>35</v>
      </c>
      <c r="B13" s="185" t="s">
        <v>8</v>
      </c>
      <c r="C13" s="185" t="s">
        <v>176</v>
      </c>
      <c r="D13" s="186" t="s">
        <v>191</v>
      </c>
      <c r="E13" s="178" t="s">
        <v>178</v>
      </c>
      <c r="F13" s="100" t="b">
        <v>0</v>
      </c>
      <c r="G13" s="187" t="s">
        <v>179</v>
      </c>
    </row>
    <row r="14" ht="22.5" customHeight="1">
      <c r="A14" s="184" t="s">
        <v>34</v>
      </c>
      <c r="B14" s="185" t="s">
        <v>8</v>
      </c>
      <c r="C14" s="185" t="s">
        <v>180</v>
      </c>
      <c r="D14" s="186" t="s">
        <v>192</v>
      </c>
      <c r="E14" s="178" t="s">
        <v>178</v>
      </c>
      <c r="F14" s="100" t="b">
        <v>0</v>
      </c>
      <c r="G14" s="187" t="s">
        <v>179</v>
      </c>
    </row>
    <row r="15" ht="22.5" customHeight="1">
      <c r="A15" s="184" t="s">
        <v>26</v>
      </c>
      <c r="B15" s="185" t="s">
        <v>8</v>
      </c>
      <c r="C15" s="185" t="s">
        <v>176</v>
      </c>
      <c r="D15" s="186" t="s">
        <v>193</v>
      </c>
      <c r="E15" s="178" t="s">
        <v>178</v>
      </c>
      <c r="F15" s="100" t="b">
        <v>0</v>
      </c>
      <c r="G15" s="187" t="s">
        <v>179</v>
      </c>
    </row>
    <row r="16" ht="22.5" customHeight="1">
      <c r="A16" s="184" t="s">
        <v>18</v>
      </c>
      <c r="B16" s="185" t="s">
        <v>8</v>
      </c>
      <c r="C16" s="185" t="s">
        <v>180</v>
      </c>
      <c r="D16" s="186" t="s">
        <v>194</v>
      </c>
      <c r="E16" s="178" t="s">
        <v>178</v>
      </c>
      <c r="F16" s="100" t="b">
        <v>0</v>
      </c>
      <c r="G16" s="187" t="s">
        <v>185</v>
      </c>
    </row>
    <row r="17" ht="22.5" customHeight="1">
      <c r="A17" s="184" t="s">
        <v>14</v>
      </c>
      <c r="B17" s="185" t="s">
        <v>8</v>
      </c>
      <c r="C17" s="185" t="s">
        <v>176</v>
      </c>
      <c r="D17" s="186" t="s">
        <v>195</v>
      </c>
      <c r="E17" s="178" t="s">
        <v>196</v>
      </c>
      <c r="F17" s="100" t="b">
        <v>0</v>
      </c>
      <c r="G17" s="187" t="s">
        <v>197</v>
      </c>
    </row>
    <row r="18" ht="22.5" customHeight="1">
      <c r="A18" s="184" t="s">
        <v>48</v>
      </c>
      <c r="B18" s="185" t="s">
        <v>8</v>
      </c>
      <c r="C18" s="185" t="s">
        <v>187</v>
      </c>
      <c r="D18" s="188"/>
      <c r="E18" s="178" t="s">
        <v>196</v>
      </c>
      <c r="F18" s="100" t="b">
        <v>0</v>
      </c>
      <c r="G18" s="188"/>
    </row>
  </sheetData>
  <dataValidations>
    <dataValidation type="list" allowBlank="1" sqref="B3:B18">
      <formula1>"Vocalista,Guitarra,Viola"</formula1>
    </dataValidation>
    <dataValidation type="list" allowBlank="1" sqref="E3:E18">
      <formula1>"Passa o seu,Precisa que alguém passe,Outro"</formula1>
    </dataValidation>
    <dataValidation allowBlank="1" showDropDown="1" sqref="A3:A18 G3:G18"/>
    <dataValidation type="list" allowBlank="1" sqref="C3:C18">
      <formula1>"Total,Limitada,Pouca"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9"/>
    <hyperlink r:id="rId7" ref="D10"/>
    <hyperlink r:id="rId8" ref="D11"/>
    <hyperlink r:id="rId9" ref="D13"/>
    <hyperlink r:id="rId10" ref="D14"/>
    <hyperlink r:id="rId11" ref="D15"/>
    <hyperlink r:id="rId12" ref="D16"/>
    <hyperlink r:id="rId13" ref="D17"/>
  </hyperlinks>
  <drawing r:id="rId14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25"/>
    <col customWidth="1" min="13" max="13" width="13.0"/>
    <col customWidth="1" min="14" max="14" width="14.13"/>
  </cols>
  <sheetData>
    <row r="1">
      <c r="A1" s="1" t="s">
        <v>0</v>
      </c>
      <c r="B1" s="2" t="s">
        <v>1</v>
      </c>
    </row>
    <row r="2">
      <c r="A2" s="3"/>
      <c r="B2" s="4" t="s">
        <v>198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10</v>
      </c>
      <c r="J3" s="12"/>
      <c r="K3" s="12"/>
      <c r="L3" s="12"/>
      <c r="M3" s="12"/>
      <c r="N3" s="13"/>
    </row>
    <row r="4">
      <c r="A4" s="14"/>
      <c r="B4" s="25" t="s">
        <v>25</v>
      </c>
      <c r="C4" s="26">
        <v>1.0</v>
      </c>
      <c r="D4" s="17" t="s">
        <v>12</v>
      </c>
      <c r="E4" s="18"/>
      <c r="F4" s="18"/>
      <c r="G4" s="18"/>
      <c r="I4" s="27" t="s">
        <v>25</v>
      </c>
      <c r="J4" s="28">
        <v>1.0</v>
      </c>
      <c r="K4" s="29" t="s">
        <v>27</v>
      </c>
      <c r="L4" s="30"/>
      <c r="M4" s="30"/>
      <c r="N4" s="31"/>
    </row>
    <row r="5">
      <c r="A5" s="14"/>
      <c r="B5" s="24"/>
      <c r="C5" s="24"/>
      <c r="D5" s="17" t="s">
        <v>16</v>
      </c>
      <c r="E5" s="18"/>
      <c r="F5" s="18"/>
      <c r="G5" s="18"/>
      <c r="I5" s="32"/>
      <c r="J5" s="33"/>
      <c r="K5" s="34"/>
      <c r="L5" s="30"/>
      <c r="M5" s="35"/>
      <c r="N5" s="36"/>
    </row>
    <row r="6">
      <c r="A6" s="14"/>
      <c r="B6" s="23"/>
      <c r="C6" s="23"/>
      <c r="D6" s="17" t="s">
        <v>20</v>
      </c>
      <c r="E6" s="18"/>
      <c r="F6" s="18"/>
      <c r="G6" s="18"/>
      <c r="I6" s="37"/>
      <c r="J6" s="38"/>
      <c r="K6" s="39"/>
      <c r="L6" s="40"/>
      <c r="M6" s="41"/>
      <c r="N6" s="42"/>
    </row>
    <row r="7">
      <c r="A7" s="14"/>
      <c r="B7" s="25" t="s">
        <v>29</v>
      </c>
      <c r="C7" s="26">
        <v>2.0</v>
      </c>
      <c r="D7" s="17" t="s">
        <v>12</v>
      </c>
      <c r="E7" s="18"/>
      <c r="F7" s="18"/>
      <c r="G7" s="18"/>
      <c r="I7" s="27" t="s">
        <v>29</v>
      </c>
      <c r="J7" s="43">
        <v>2.0</v>
      </c>
      <c r="K7" s="44" t="s">
        <v>27</v>
      </c>
      <c r="L7" s="30"/>
      <c r="M7" s="30"/>
      <c r="N7" s="31"/>
    </row>
    <row r="8">
      <c r="A8" s="14"/>
      <c r="B8" s="24"/>
      <c r="C8" s="24"/>
      <c r="D8" s="17" t="s">
        <v>16</v>
      </c>
      <c r="E8" s="18"/>
      <c r="F8" s="18"/>
      <c r="G8" s="18"/>
      <c r="I8" s="32"/>
      <c r="J8" s="34"/>
      <c r="K8" s="45"/>
      <c r="L8" s="30"/>
      <c r="M8" s="35"/>
      <c r="N8" s="36"/>
    </row>
    <row r="9">
      <c r="A9" s="14"/>
      <c r="B9" s="23"/>
      <c r="C9" s="23"/>
      <c r="D9" s="17" t="s">
        <v>20</v>
      </c>
      <c r="E9" s="18"/>
      <c r="F9" s="18"/>
      <c r="G9" s="18"/>
      <c r="I9" s="20"/>
      <c r="J9" s="21"/>
      <c r="K9" s="21"/>
      <c r="L9" s="21"/>
      <c r="M9" s="21"/>
      <c r="N9" s="22"/>
    </row>
    <row r="10">
      <c r="A10" s="14"/>
      <c r="B10" s="25" t="s">
        <v>31</v>
      </c>
      <c r="C10" s="26">
        <v>3.0</v>
      </c>
      <c r="D10" s="17" t="s">
        <v>12</v>
      </c>
      <c r="E10" s="18"/>
      <c r="F10" s="18"/>
      <c r="G10" s="18"/>
      <c r="I10" s="27" t="s">
        <v>31</v>
      </c>
      <c r="J10" s="46">
        <v>3.0</v>
      </c>
      <c r="K10" s="44" t="s">
        <v>27</v>
      </c>
      <c r="L10" s="30"/>
      <c r="M10" s="30"/>
      <c r="N10" s="31"/>
    </row>
    <row r="11">
      <c r="A11" s="14"/>
      <c r="B11" s="24"/>
      <c r="C11" s="24"/>
      <c r="D11" s="17" t="s">
        <v>16</v>
      </c>
      <c r="E11" s="18"/>
      <c r="F11" s="18"/>
      <c r="G11" s="18"/>
      <c r="I11" s="32"/>
      <c r="J11" s="45"/>
      <c r="K11" s="45"/>
      <c r="L11" s="30"/>
      <c r="M11" s="35"/>
      <c r="N11" s="36"/>
    </row>
    <row r="12">
      <c r="A12" s="14"/>
      <c r="B12" s="23"/>
      <c r="C12" s="23"/>
      <c r="D12" s="17" t="s">
        <v>20</v>
      </c>
      <c r="E12" s="18"/>
      <c r="F12" s="18"/>
      <c r="G12" s="18"/>
      <c r="I12" s="20"/>
      <c r="J12" s="21"/>
      <c r="K12" s="21"/>
      <c r="L12" s="21"/>
      <c r="M12" s="21"/>
      <c r="N12" s="22"/>
    </row>
    <row r="13">
      <c r="A13" s="14"/>
      <c r="B13" s="15" t="s">
        <v>11</v>
      </c>
      <c r="C13" s="16">
        <v>4.0</v>
      </c>
      <c r="D13" s="17" t="s">
        <v>12</v>
      </c>
      <c r="E13" s="18"/>
      <c r="F13" s="18"/>
      <c r="G13" s="18"/>
      <c r="I13" s="20"/>
      <c r="J13" s="21"/>
      <c r="K13" s="21"/>
      <c r="L13" s="21"/>
      <c r="M13" s="21"/>
      <c r="N13" s="22"/>
    </row>
    <row r="14">
      <c r="A14" s="14"/>
      <c r="B14" s="23"/>
      <c r="C14" s="23"/>
      <c r="D14" s="17" t="s">
        <v>16</v>
      </c>
      <c r="E14" s="18"/>
      <c r="F14" s="18"/>
      <c r="G14" s="18"/>
      <c r="I14" s="20"/>
      <c r="J14" s="21"/>
      <c r="K14" s="21"/>
      <c r="L14" s="21"/>
      <c r="M14" s="21"/>
      <c r="N14" s="22"/>
    </row>
    <row r="15">
      <c r="A15" s="14"/>
      <c r="B15" s="15" t="s">
        <v>17</v>
      </c>
      <c r="C15" s="16">
        <v>5.0</v>
      </c>
      <c r="D15" s="17" t="s">
        <v>12</v>
      </c>
      <c r="E15" s="18"/>
      <c r="F15" s="18"/>
      <c r="G15" s="18"/>
      <c r="I15" s="20"/>
      <c r="J15" s="21"/>
      <c r="K15" s="21"/>
      <c r="L15" s="21"/>
      <c r="M15" s="21"/>
      <c r="N15" s="22"/>
    </row>
    <row r="16">
      <c r="A16" s="14"/>
      <c r="B16" s="23"/>
      <c r="C16" s="23"/>
      <c r="D16" s="17" t="s">
        <v>16</v>
      </c>
      <c r="E16" s="18"/>
      <c r="F16" s="18"/>
      <c r="G16" s="18"/>
      <c r="I16" s="20"/>
      <c r="J16" s="21"/>
      <c r="K16" s="21"/>
      <c r="L16" s="21"/>
      <c r="M16" s="21"/>
      <c r="N16" s="22"/>
    </row>
    <row r="17">
      <c r="A17" s="14"/>
      <c r="B17" s="15" t="s">
        <v>21</v>
      </c>
      <c r="C17" s="16">
        <v>6.0</v>
      </c>
      <c r="D17" s="17" t="s">
        <v>12</v>
      </c>
      <c r="E17" s="18"/>
      <c r="F17" s="18"/>
      <c r="G17" s="18"/>
      <c r="I17" s="20"/>
      <c r="J17" s="21"/>
      <c r="K17" s="21"/>
      <c r="L17" s="21"/>
      <c r="M17" s="21"/>
      <c r="N17" s="22"/>
    </row>
    <row r="18">
      <c r="A18" s="14"/>
      <c r="B18" s="23"/>
      <c r="C18" s="23"/>
      <c r="D18" s="17" t="s">
        <v>16</v>
      </c>
      <c r="E18" s="18"/>
      <c r="F18" s="18"/>
      <c r="G18" s="18"/>
      <c r="I18" s="20"/>
      <c r="J18" s="21"/>
      <c r="K18" s="21"/>
      <c r="L18" s="21"/>
      <c r="M18" s="21"/>
      <c r="N18" s="22"/>
    </row>
    <row r="19">
      <c r="A19" s="14"/>
      <c r="B19" s="15" t="s">
        <v>23</v>
      </c>
      <c r="C19" s="16">
        <v>7.0</v>
      </c>
      <c r="D19" s="17" t="s">
        <v>12</v>
      </c>
      <c r="E19" s="18"/>
      <c r="F19" s="18"/>
      <c r="G19" s="18"/>
      <c r="I19" s="20"/>
      <c r="J19" s="21"/>
      <c r="K19" s="21"/>
      <c r="L19" s="21"/>
      <c r="M19" s="21"/>
      <c r="N19" s="22"/>
    </row>
    <row r="20">
      <c r="A20" s="14"/>
      <c r="B20" s="23"/>
      <c r="C20" s="23"/>
      <c r="D20" s="17" t="s">
        <v>16</v>
      </c>
      <c r="E20" s="18"/>
      <c r="F20" s="18"/>
      <c r="G20" s="18"/>
      <c r="I20" s="20"/>
      <c r="J20" s="21"/>
      <c r="K20" s="21"/>
      <c r="L20" s="21"/>
      <c r="M20" s="21"/>
      <c r="N20" s="22"/>
    </row>
    <row r="21">
      <c r="A21" s="14"/>
      <c r="B21" s="25" t="s">
        <v>25</v>
      </c>
      <c r="C21" s="26">
        <v>8.0</v>
      </c>
      <c r="D21" s="17" t="s">
        <v>12</v>
      </c>
      <c r="E21" s="18"/>
      <c r="F21" s="18"/>
      <c r="G21" s="18"/>
      <c r="I21" s="27" t="s">
        <v>25</v>
      </c>
      <c r="J21" s="28">
        <v>8.0</v>
      </c>
      <c r="K21" s="29" t="s">
        <v>27</v>
      </c>
      <c r="L21" s="30"/>
      <c r="M21" s="30"/>
      <c r="N21" s="31"/>
    </row>
    <row r="22">
      <c r="A22" s="14"/>
      <c r="B22" s="24"/>
      <c r="C22" s="24"/>
      <c r="D22" s="17" t="s">
        <v>16</v>
      </c>
      <c r="E22" s="18"/>
      <c r="F22" s="18"/>
      <c r="G22" s="18"/>
      <c r="I22" s="32"/>
      <c r="J22" s="33"/>
      <c r="K22" s="34"/>
      <c r="L22" s="30"/>
      <c r="M22" s="35"/>
      <c r="N22" s="36"/>
    </row>
    <row r="23">
      <c r="A23" s="14"/>
      <c r="B23" s="23"/>
      <c r="C23" s="23"/>
      <c r="D23" s="17" t="s">
        <v>20</v>
      </c>
      <c r="E23" s="18"/>
      <c r="F23" s="18"/>
      <c r="G23" s="18"/>
      <c r="I23" s="20"/>
      <c r="J23" s="21"/>
      <c r="K23" s="21"/>
      <c r="L23" s="21"/>
      <c r="M23" s="21"/>
      <c r="N23" s="22"/>
    </row>
    <row r="24">
      <c r="A24" s="14"/>
      <c r="B24" s="25" t="s">
        <v>29</v>
      </c>
      <c r="C24" s="26">
        <v>9.0</v>
      </c>
      <c r="D24" s="17" t="s">
        <v>12</v>
      </c>
      <c r="E24" s="18"/>
      <c r="F24" s="18"/>
      <c r="G24" s="18"/>
      <c r="I24" s="27" t="s">
        <v>29</v>
      </c>
      <c r="J24" s="43">
        <v>9.0</v>
      </c>
      <c r="K24" s="44" t="s">
        <v>27</v>
      </c>
      <c r="L24" s="30"/>
      <c r="M24" s="30"/>
      <c r="N24" s="31"/>
    </row>
    <row r="25">
      <c r="A25" s="14"/>
      <c r="B25" s="24"/>
      <c r="C25" s="24"/>
      <c r="D25" s="17" t="s">
        <v>16</v>
      </c>
      <c r="E25" s="18"/>
      <c r="F25" s="18"/>
      <c r="G25" s="18"/>
      <c r="I25" s="32"/>
      <c r="J25" s="34"/>
      <c r="K25" s="45"/>
      <c r="L25" s="30"/>
      <c r="M25" s="35"/>
      <c r="N25" s="36"/>
    </row>
    <row r="26">
      <c r="A26" s="14"/>
      <c r="B26" s="23"/>
      <c r="C26" s="23"/>
      <c r="D26" s="17" t="s">
        <v>20</v>
      </c>
      <c r="E26" s="18"/>
      <c r="F26" s="18"/>
      <c r="G26" s="18"/>
      <c r="I26" s="20"/>
      <c r="J26" s="21"/>
      <c r="K26" s="21"/>
      <c r="L26" s="21"/>
      <c r="M26" s="21"/>
      <c r="N26" s="22"/>
    </row>
    <row r="27">
      <c r="A27" s="14"/>
      <c r="B27" s="25" t="s">
        <v>31</v>
      </c>
      <c r="C27" s="26">
        <v>10.0</v>
      </c>
      <c r="D27" s="17" t="s">
        <v>12</v>
      </c>
      <c r="E27" s="18"/>
      <c r="F27" s="18"/>
      <c r="G27" s="18"/>
      <c r="I27" s="27" t="s">
        <v>31</v>
      </c>
      <c r="J27" s="46">
        <v>10.0</v>
      </c>
      <c r="K27" s="44" t="s">
        <v>27</v>
      </c>
      <c r="L27" s="30"/>
      <c r="M27" s="30"/>
      <c r="N27" s="31"/>
    </row>
    <row r="28">
      <c r="A28" s="14"/>
      <c r="B28" s="24"/>
      <c r="C28" s="24"/>
      <c r="D28" s="17" t="s">
        <v>16</v>
      </c>
      <c r="E28" s="18"/>
      <c r="F28" s="18"/>
      <c r="G28" s="18"/>
      <c r="I28" s="32"/>
      <c r="J28" s="45"/>
      <c r="K28" s="45"/>
      <c r="L28" s="30"/>
      <c r="M28" s="35"/>
      <c r="N28" s="36"/>
    </row>
    <row r="29">
      <c r="A29" s="14"/>
      <c r="B29" s="23"/>
      <c r="C29" s="23"/>
      <c r="D29" s="17" t="s">
        <v>20</v>
      </c>
      <c r="E29" s="18"/>
      <c r="F29" s="18"/>
      <c r="G29" s="18"/>
      <c r="I29" s="20"/>
      <c r="J29" s="21"/>
      <c r="K29" s="21"/>
      <c r="L29" s="21"/>
      <c r="M29" s="21"/>
      <c r="N29" s="22"/>
    </row>
    <row r="30">
      <c r="A30" s="14"/>
      <c r="B30" s="15" t="s">
        <v>11</v>
      </c>
      <c r="C30" s="16">
        <v>11.0</v>
      </c>
      <c r="D30" s="17" t="s">
        <v>12</v>
      </c>
      <c r="E30" s="18"/>
      <c r="F30" s="18"/>
      <c r="G30" s="18"/>
      <c r="I30" s="20"/>
      <c r="J30" s="21"/>
      <c r="K30" s="21"/>
      <c r="L30" s="21"/>
      <c r="M30" s="21"/>
      <c r="N30" s="22"/>
    </row>
    <row r="31">
      <c r="A31" s="14"/>
      <c r="B31" s="23"/>
      <c r="C31" s="23"/>
      <c r="D31" s="17" t="s">
        <v>16</v>
      </c>
      <c r="E31" s="18"/>
      <c r="F31" s="18"/>
      <c r="G31" s="18"/>
      <c r="I31" s="20"/>
      <c r="J31" s="21"/>
      <c r="K31" s="21"/>
      <c r="L31" s="21"/>
      <c r="M31" s="21"/>
      <c r="N31" s="22"/>
    </row>
    <row r="32">
      <c r="A32" s="14"/>
      <c r="B32" s="15" t="s">
        <v>17</v>
      </c>
      <c r="C32" s="16">
        <v>12.0</v>
      </c>
      <c r="D32" s="17" t="s">
        <v>12</v>
      </c>
      <c r="E32" s="18"/>
      <c r="F32" s="18"/>
      <c r="G32" s="18"/>
      <c r="I32" s="20"/>
      <c r="J32" s="21"/>
      <c r="K32" s="21"/>
      <c r="L32" s="21"/>
      <c r="M32" s="21"/>
      <c r="N32" s="22"/>
    </row>
    <row r="33">
      <c r="A33" s="14"/>
      <c r="B33" s="23"/>
      <c r="C33" s="23"/>
      <c r="D33" s="17" t="s">
        <v>16</v>
      </c>
      <c r="E33" s="18"/>
      <c r="F33" s="18"/>
      <c r="G33" s="18"/>
      <c r="I33" s="20"/>
      <c r="J33" s="21"/>
      <c r="K33" s="21"/>
      <c r="L33" s="21"/>
      <c r="M33" s="21"/>
      <c r="N33" s="22"/>
    </row>
    <row r="34">
      <c r="A34" s="14"/>
      <c r="B34" s="15" t="s">
        <v>21</v>
      </c>
      <c r="C34" s="16">
        <v>13.0</v>
      </c>
      <c r="D34" s="17" t="s">
        <v>12</v>
      </c>
      <c r="E34" s="18"/>
      <c r="F34" s="18"/>
      <c r="G34" s="18"/>
      <c r="I34" s="20"/>
      <c r="J34" s="21"/>
      <c r="K34" s="21"/>
      <c r="L34" s="21"/>
      <c r="M34" s="21"/>
      <c r="N34" s="22"/>
    </row>
    <row r="35">
      <c r="A35" s="14"/>
      <c r="B35" s="23"/>
      <c r="C35" s="23"/>
      <c r="D35" s="17" t="s">
        <v>16</v>
      </c>
      <c r="E35" s="18"/>
      <c r="F35" s="18"/>
      <c r="G35" s="18"/>
      <c r="I35" s="20"/>
      <c r="J35" s="21"/>
      <c r="K35" s="21"/>
      <c r="L35" s="21"/>
      <c r="M35" s="21"/>
      <c r="N35" s="22"/>
    </row>
    <row r="36">
      <c r="A36" s="14"/>
      <c r="B36" s="15" t="s">
        <v>23</v>
      </c>
      <c r="C36" s="16">
        <v>14.0</v>
      </c>
      <c r="D36" s="17" t="s">
        <v>12</v>
      </c>
      <c r="E36" s="18"/>
      <c r="F36" s="18"/>
      <c r="G36" s="18"/>
      <c r="I36" s="20"/>
      <c r="J36" s="21"/>
      <c r="K36" s="21"/>
      <c r="L36" s="21"/>
      <c r="M36" s="21"/>
      <c r="N36" s="22"/>
    </row>
    <row r="37">
      <c r="A37" s="14"/>
      <c r="B37" s="23"/>
      <c r="C37" s="23"/>
      <c r="D37" s="17" t="s">
        <v>16</v>
      </c>
      <c r="E37" s="18"/>
      <c r="F37" s="18"/>
      <c r="G37" s="18"/>
      <c r="I37" s="20"/>
      <c r="J37" s="21"/>
      <c r="K37" s="21"/>
      <c r="L37" s="21"/>
      <c r="M37" s="21"/>
      <c r="N37" s="22"/>
    </row>
    <row r="38">
      <c r="A38" s="14"/>
      <c r="B38" s="25" t="s">
        <v>25</v>
      </c>
      <c r="C38" s="26">
        <v>15.0</v>
      </c>
      <c r="D38" s="17" t="s">
        <v>12</v>
      </c>
      <c r="E38" s="18"/>
      <c r="F38" s="18"/>
      <c r="G38" s="18"/>
      <c r="I38" s="20"/>
      <c r="J38" s="21"/>
      <c r="K38" s="21"/>
      <c r="L38" s="21"/>
      <c r="M38" s="21"/>
      <c r="N38" s="22"/>
    </row>
    <row r="39">
      <c r="A39" s="14"/>
      <c r="B39" s="24"/>
      <c r="C39" s="24"/>
      <c r="D39" s="17" t="s">
        <v>16</v>
      </c>
      <c r="E39" s="18"/>
      <c r="F39" s="18"/>
      <c r="G39" s="18"/>
      <c r="I39" s="27" t="s">
        <v>25</v>
      </c>
      <c r="J39" s="28">
        <v>15.0</v>
      </c>
      <c r="K39" s="29" t="s">
        <v>27</v>
      </c>
      <c r="L39" s="30"/>
      <c r="M39" s="30"/>
      <c r="N39" s="31"/>
    </row>
    <row r="40">
      <c r="A40" s="14"/>
      <c r="B40" s="23"/>
      <c r="C40" s="23"/>
      <c r="D40" s="17" t="s">
        <v>20</v>
      </c>
      <c r="E40" s="18"/>
      <c r="F40" s="18"/>
      <c r="G40" s="18"/>
      <c r="I40" s="32"/>
      <c r="J40" s="33"/>
      <c r="K40" s="34"/>
      <c r="L40" s="30"/>
      <c r="M40" s="35"/>
      <c r="N40" s="36"/>
    </row>
    <row r="41">
      <c r="A41" s="14"/>
      <c r="B41" s="25" t="s">
        <v>29</v>
      </c>
      <c r="C41" s="26">
        <v>16.0</v>
      </c>
      <c r="D41" s="17" t="s">
        <v>12</v>
      </c>
      <c r="E41" s="18"/>
      <c r="F41" s="18"/>
      <c r="G41" s="18"/>
      <c r="I41" s="20"/>
      <c r="J41" s="21"/>
      <c r="K41" s="21"/>
      <c r="L41" s="21"/>
      <c r="M41" s="21"/>
      <c r="N41" s="22"/>
    </row>
    <row r="42">
      <c r="A42" s="14"/>
      <c r="B42" s="24"/>
      <c r="C42" s="24"/>
      <c r="D42" s="17" t="s">
        <v>16</v>
      </c>
      <c r="E42" s="18"/>
      <c r="F42" s="18"/>
      <c r="G42" s="18"/>
      <c r="I42" s="27" t="s">
        <v>29</v>
      </c>
      <c r="J42" s="43">
        <v>16.0</v>
      </c>
      <c r="K42" s="44" t="s">
        <v>27</v>
      </c>
      <c r="L42" s="30"/>
      <c r="M42" s="30"/>
      <c r="N42" s="31"/>
    </row>
    <row r="43">
      <c r="A43" s="14"/>
      <c r="B43" s="23"/>
      <c r="C43" s="23"/>
      <c r="D43" s="17" t="s">
        <v>20</v>
      </c>
      <c r="E43" s="18"/>
      <c r="F43" s="18"/>
      <c r="G43" s="18"/>
      <c r="I43" s="32"/>
      <c r="J43" s="34"/>
      <c r="K43" s="45"/>
      <c r="L43" s="30"/>
      <c r="M43" s="35"/>
      <c r="N43" s="36"/>
    </row>
    <row r="44">
      <c r="A44" s="14"/>
      <c r="B44" s="25" t="s">
        <v>31</v>
      </c>
      <c r="C44" s="26">
        <v>17.0</v>
      </c>
      <c r="D44" s="17" t="s">
        <v>12</v>
      </c>
      <c r="E44" s="18"/>
      <c r="F44" s="18"/>
      <c r="G44" s="18"/>
      <c r="I44" s="20"/>
      <c r="J44" s="21"/>
      <c r="K44" s="21"/>
      <c r="L44" s="21"/>
      <c r="M44" s="21"/>
      <c r="N44" s="22"/>
    </row>
    <row r="45">
      <c r="A45" s="14"/>
      <c r="B45" s="24"/>
      <c r="C45" s="24"/>
      <c r="D45" s="17" t="s">
        <v>16</v>
      </c>
      <c r="E45" s="18"/>
      <c r="F45" s="18"/>
      <c r="G45" s="18"/>
      <c r="I45" s="27" t="s">
        <v>31</v>
      </c>
      <c r="J45" s="46">
        <v>17.0</v>
      </c>
      <c r="K45" s="44" t="s">
        <v>27</v>
      </c>
      <c r="L45" s="30"/>
      <c r="M45" s="30"/>
      <c r="N45" s="31"/>
    </row>
    <row r="46">
      <c r="A46" s="14"/>
      <c r="B46" s="23"/>
      <c r="C46" s="23"/>
      <c r="D46" s="17" t="s">
        <v>20</v>
      </c>
      <c r="E46" s="18"/>
      <c r="F46" s="18"/>
      <c r="G46" s="18"/>
      <c r="I46" s="32"/>
      <c r="J46" s="45"/>
      <c r="K46" s="45"/>
      <c r="L46" s="30"/>
      <c r="M46" s="35"/>
      <c r="N46" s="36"/>
    </row>
    <row r="47">
      <c r="A47" s="14"/>
      <c r="B47" s="15" t="s">
        <v>11</v>
      </c>
      <c r="C47" s="16">
        <v>18.0</v>
      </c>
      <c r="D47" s="17" t="s">
        <v>12</v>
      </c>
      <c r="E47" s="18"/>
      <c r="F47" s="18"/>
      <c r="G47" s="18"/>
      <c r="I47" s="20"/>
      <c r="J47" s="21"/>
      <c r="K47" s="21"/>
      <c r="L47" s="21"/>
      <c r="M47" s="21"/>
      <c r="N47" s="22"/>
    </row>
    <row r="48">
      <c r="A48" s="14"/>
      <c r="B48" s="23"/>
      <c r="C48" s="23"/>
      <c r="D48" s="17" t="s">
        <v>16</v>
      </c>
      <c r="E48" s="18"/>
      <c r="F48" s="18"/>
      <c r="G48" s="18"/>
      <c r="I48" s="20"/>
      <c r="J48" s="21"/>
      <c r="K48" s="21"/>
      <c r="L48" s="21"/>
      <c r="M48" s="21"/>
      <c r="N48" s="22"/>
    </row>
    <row r="49">
      <c r="A49" s="14"/>
      <c r="B49" s="15" t="s">
        <v>17</v>
      </c>
      <c r="C49" s="16">
        <v>19.0</v>
      </c>
      <c r="D49" s="17" t="s">
        <v>12</v>
      </c>
      <c r="E49" s="18"/>
      <c r="F49" s="18"/>
      <c r="G49" s="18"/>
      <c r="I49" s="20"/>
      <c r="J49" s="21"/>
      <c r="K49" s="21"/>
      <c r="L49" s="21"/>
      <c r="M49" s="21"/>
      <c r="N49" s="22"/>
    </row>
    <row r="50">
      <c r="A50" s="14"/>
      <c r="B50" s="23"/>
      <c r="C50" s="23"/>
      <c r="D50" s="17" t="s">
        <v>16</v>
      </c>
      <c r="E50" s="18"/>
      <c r="F50" s="18"/>
      <c r="G50" s="18"/>
      <c r="I50" s="20"/>
      <c r="J50" s="21"/>
      <c r="K50" s="21"/>
      <c r="L50" s="21"/>
      <c r="M50" s="21"/>
      <c r="N50" s="22"/>
    </row>
    <row r="51">
      <c r="A51" s="14"/>
      <c r="B51" s="15" t="s">
        <v>21</v>
      </c>
      <c r="C51" s="16">
        <v>20.0</v>
      </c>
      <c r="D51" s="17" t="s">
        <v>12</v>
      </c>
      <c r="E51" s="18"/>
      <c r="F51" s="18"/>
      <c r="G51" s="18"/>
      <c r="I51" s="20"/>
      <c r="J51" s="21"/>
      <c r="K51" s="21"/>
      <c r="L51" s="21"/>
      <c r="M51" s="21"/>
      <c r="N51" s="22"/>
    </row>
    <row r="52">
      <c r="A52" s="14"/>
      <c r="B52" s="23"/>
      <c r="C52" s="23"/>
      <c r="D52" s="17" t="s">
        <v>16</v>
      </c>
      <c r="E52" s="18"/>
      <c r="F52" s="18"/>
      <c r="G52" s="18"/>
      <c r="I52" s="20"/>
      <c r="J52" s="21"/>
      <c r="K52" s="21"/>
      <c r="L52" s="21"/>
      <c r="M52" s="21"/>
      <c r="N52" s="22"/>
    </row>
    <row r="53">
      <c r="A53" s="14"/>
      <c r="B53" s="15" t="s">
        <v>23</v>
      </c>
      <c r="C53" s="16">
        <v>21.0</v>
      </c>
      <c r="D53" s="17" t="s">
        <v>12</v>
      </c>
      <c r="E53" s="18"/>
      <c r="F53" s="18"/>
      <c r="G53" s="18"/>
      <c r="I53" s="20"/>
      <c r="J53" s="21"/>
      <c r="K53" s="21"/>
      <c r="L53" s="21"/>
      <c r="M53" s="21"/>
      <c r="N53" s="22"/>
    </row>
    <row r="54">
      <c r="A54" s="14"/>
      <c r="B54" s="23"/>
      <c r="C54" s="23"/>
      <c r="D54" s="17" t="s">
        <v>16</v>
      </c>
      <c r="E54" s="18"/>
      <c r="F54" s="18"/>
      <c r="G54" s="18"/>
      <c r="I54" s="20"/>
      <c r="J54" s="21"/>
      <c r="K54" s="21"/>
      <c r="L54" s="21"/>
      <c r="M54" s="21"/>
      <c r="N54" s="22"/>
    </row>
    <row r="55">
      <c r="A55" s="14"/>
      <c r="B55" s="25" t="s">
        <v>25</v>
      </c>
      <c r="C55" s="26">
        <v>22.0</v>
      </c>
      <c r="D55" s="17" t="s">
        <v>12</v>
      </c>
      <c r="E55" s="18"/>
      <c r="F55" s="18"/>
      <c r="G55" s="18"/>
      <c r="I55" s="20"/>
      <c r="J55" s="21"/>
      <c r="K55" s="21"/>
      <c r="L55" s="21"/>
      <c r="M55" s="21"/>
      <c r="N55" s="22"/>
    </row>
    <row r="56">
      <c r="A56" s="14"/>
      <c r="B56" s="24"/>
      <c r="C56" s="24"/>
      <c r="D56" s="17" t="s">
        <v>16</v>
      </c>
      <c r="E56" s="18"/>
      <c r="F56" s="18"/>
      <c r="G56" s="18"/>
      <c r="I56" s="27" t="s">
        <v>25</v>
      </c>
      <c r="J56" s="28">
        <v>22.0</v>
      </c>
      <c r="K56" s="29" t="s">
        <v>27</v>
      </c>
      <c r="L56" s="30"/>
      <c r="M56" s="30"/>
      <c r="N56" s="31"/>
    </row>
    <row r="57">
      <c r="A57" s="14"/>
      <c r="B57" s="23"/>
      <c r="C57" s="23"/>
      <c r="D57" s="17" t="s">
        <v>20</v>
      </c>
      <c r="E57" s="18"/>
      <c r="F57" s="18"/>
      <c r="G57" s="18"/>
      <c r="I57" s="32"/>
      <c r="J57" s="33"/>
      <c r="K57" s="34"/>
      <c r="L57" s="30"/>
      <c r="M57" s="35"/>
      <c r="N57" s="36"/>
    </row>
    <row r="58">
      <c r="A58" s="14"/>
      <c r="B58" s="25" t="s">
        <v>29</v>
      </c>
      <c r="C58" s="26">
        <v>23.0</v>
      </c>
      <c r="D58" s="17" t="s">
        <v>12</v>
      </c>
      <c r="E58" s="18"/>
      <c r="F58" s="18"/>
      <c r="G58" s="18"/>
      <c r="I58" s="20"/>
      <c r="J58" s="21"/>
      <c r="K58" s="21"/>
      <c r="L58" s="21"/>
      <c r="M58" s="21"/>
      <c r="N58" s="22"/>
    </row>
    <row r="59">
      <c r="A59" s="14"/>
      <c r="B59" s="24"/>
      <c r="C59" s="24"/>
      <c r="D59" s="17" t="s">
        <v>16</v>
      </c>
      <c r="E59" s="18"/>
      <c r="F59" s="18"/>
      <c r="G59" s="18"/>
      <c r="I59" s="27" t="s">
        <v>29</v>
      </c>
      <c r="J59" s="43">
        <v>23.0</v>
      </c>
      <c r="K59" s="44" t="s">
        <v>27</v>
      </c>
      <c r="L59" s="30"/>
      <c r="M59" s="30"/>
      <c r="N59" s="31"/>
    </row>
    <row r="60">
      <c r="A60" s="14"/>
      <c r="B60" s="23"/>
      <c r="C60" s="23"/>
      <c r="D60" s="17" t="s">
        <v>20</v>
      </c>
      <c r="E60" s="18"/>
      <c r="F60" s="18"/>
      <c r="G60" s="18"/>
      <c r="I60" s="32"/>
      <c r="J60" s="34"/>
      <c r="K60" s="45"/>
      <c r="L60" s="30"/>
      <c r="M60" s="35"/>
      <c r="N60" s="36"/>
    </row>
    <row r="61">
      <c r="A61" s="14"/>
      <c r="B61" s="25" t="s">
        <v>31</v>
      </c>
      <c r="C61" s="26">
        <v>24.0</v>
      </c>
      <c r="D61" s="17" t="s">
        <v>12</v>
      </c>
      <c r="E61" s="18"/>
      <c r="F61" s="18"/>
      <c r="G61" s="18"/>
      <c r="I61" s="20"/>
      <c r="J61" s="21"/>
      <c r="K61" s="21"/>
      <c r="L61" s="21"/>
      <c r="M61" s="21"/>
      <c r="N61" s="22"/>
    </row>
    <row r="62">
      <c r="A62" s="14"/>
      <c r="B62" s="24"/>
      <c r="C62" s="24"/>
      <c r="D62" s="17" t="s">
        <v>16</v>
      </c>
      <c r="E62" s="18"/>
      <c r="F62" s="18"/>
      <c r="G62" s="18"/>
      <c r="I62" s="27" t="s">
        <v>31</v>
      </c>
      <c r="J62" s="46">
        <v>24.0</v>
      </c>
      <c r="K62" s="44" t="s">
        <v>27</v>
      </c>
      <c r="L62" s="30"/>
      <c r="M62" s="30"/>
      <c r="N62" s="31"/>
    </row>
    <row r="63">
      <c r="A63" s="14"/>
      <c r="B63" s="23"/>
      <c r="C63" s="23"/>
      <c r="D63" s="17" t="s">
        <v>20</v>
      </c>
      <c r="E63" s="18"/>
      <c r="F63" s="18"/>
      <c r="G63" s="18"/>
      <c r="I63" s="32"/>
      <c r="J63" s="45"/>
      <c r="K63" s="45"/>
      <c r="L63" s="30"/>
      <c r="M63" s="35"/>
      <c r="N63" s="36"/>
    </row>
    <row r="64">
      <c r="A64" s="14"/>
      <c r="B64" s="15" t="s">
        <v>11</v>
      </c>
      <c r="C64" s="16">
        <v>25.0</v>
      </c>
      <c r="D64" s="17" t="s">
        <v>12</v>
      </c>
      <c r="E64" s="18"/>
      <c r="F64" s="18"/>
      <c r="G64" s="18"/>
      <c r="I64" s="20"/>
      <c r="J64" s="21"/>
      <c r="K64" s="189"/>
      <c r="L64" s="189"/>
      <c r="M64" s="189"/>
      <c r="N64" s="190"/>
    </row>
    <row r="65">
      <c r="A65" s="14"/>
      <c r="B65" s="23"/>
      <c r="C65" s="23"/>
      <c r="D65" s="17" t="s">
        <v>16</v>
      </c>
      <c r="E65" s="18"/>
      <c r="F65" s="18"/>
      <c r="G65" s="18"/>
      <c r="I65" s="49"/>
      <c r="J65" s="50"/>
      <c r="K65" s="40"/>
      <c r="L65" s="40"/>
      <c r="M65" s="51"/>
      <c r="N65" s="42"/>
    </row>
    <row r="66">
      <c r="A66" s="14"/>
      <c r="B66" s="15" t="s">
        <v>17</v>
      </c>
      <c r="C66" s="16">
        <v>26.0</v>
      </c>
      <c r="D66" s="17" t="s">
        <v>12</v>
      </c>
      <c r="E66" s="18"/>
      <c r="F66" s="18"/>
      <c r="G66" s="18"/>
      <c r="I66" s="49"/>
      <c r="J66" s="50"/>
      <c r="K66" s="40"/>
      <c r="L66" s="40"/>
      <c r="M66" s="51"/>
      <c r="N66" s="42"/>
    </row>
    <row r="67">
      <c r="A67" s="14"/>
      <c r="B67" s="23"/>
      <c r="C67" s="23"/>
      <c r="D67" s="17" t="s">
        <v>16</v>
      </c>
      <c r="E67" s="18"/>
      <c r="F67" s="18"/>
      <c r="G67" s="18"/>
      <c r="I67" s="49"/>
      <c r="J67" s="50"/>
      <c r="K67" s="40"/>
      <c r="L67" s="40"/>
      <c r="M67" s="51"/>
      <c r="N67" s="42"/>
    </row>
    <row r="68">
      <c r="A68" s="14"/>
      <c r="B68" s="15" t="s">
        <v>21</v>
      </c>
      <c r="C68" s="16">
        <v>27.0</v>
      </c>
      <c r="D68" s="17" t="s">
        <v>12</v>
      </c>
      <c r="E68" s="18"/>
      <c r="F68" s="18"/>
      <c r="G68" s="18"/>
      <c r="I68" s="49"/>
      <c r="J68" s="50"/>
      <c r="K68" s="40"/>
      <c r="L68" s="40"/>
      <c r="M68" s="51"/>
      <c r="N68" s="42"/>
    </row>
    <row r="69">
      <c r="A69" s="14"/>
      <c r="B69" s="23"/>
      <c r="C69" s="23"/>
      <c r="D69" s="17" t="s">
        <v>16</v>
      </c>
      <c r="E69" s="18"/>
      <c r="F69" s="18"/>
      <c r="G69" s="18"/>
      <c r="I69" s="20"/>
      <c r="J69" s="21"/>
      <c r="K69" s="189"/>
      <c r="L69" s="189"/>
      <c r="M69" s="189"/>
      <c r="N69" s="190"/>
    </row>
    <row r="70">
      <c r="A70" s="14"/>
      <c r="B70" s="15" t="s">
        <v>23</v>
      </c>
      <c r="C70" s="16">
        <v>28.0</v>
      </c>
      <c r="D70" s="17" t="s">
        <v>12</v>
      </c>
      <c r="E70" s="18"/>
      <c r="F70" s="18"/>
      <c r="G70" s="18"/>
      <c r="I70" s="49"/>
      <c r="J70" s="50"/>
      <c r="K70" s="40"/>
      <c r="L70" s="40"/>
      <c r="M70" s="51"/>
      <c r="N70" s="42"/>
    </row>
    <row r="71">
      <c r="A71" s="14"/>
      <c r="B71" s="23"/>
      <c r="C71" s="23"/>
      <c r="D71" s="17" t="s">
        <v>16</v>
      </c>
      <c r="E71" s="18"/>
      <c r="F71" s="18"/>
      <c r="G71" s="18"/>
      <c r="I71" s="49"/>
      <c r="J71" s="50"/>
      <c r="K71" s="40"/>
      <c r="L71" s="40"/>
      <c r="M71" s="51"/>
      <c r="N71" s="42"/>
    </row>
    <row r="72">
      <c r="A72" s="14"/>
      <c r="B72" s="25" t="s">
        <v>25</v>
      </c>
      <c r="C72" s="26">
        <v>29.0</v>
      </c>
      <c r="D72" s="17" t="s">
        <v>12</v>
      </c>
      <c r="E72" s="18"/>
      <c r="F72" s="18"/>
      <c r="G72" s="18"/>
      <c r="I72" s="49"/>
      <c r="J72" s="50"/>
      <c r="K72" s="40"/>
      <c r="L72" s="40"/>
      <c r="M72" s="51"/>
      <c r="N72" s="42"/>
    </row>
    <row r="73">
      <c r="A73" s="14"/>
      <c r="B73" s="24"/>
      <c r="C73" s="24"/>
      <c r="D73" s="17" t="s">
        <v>16</v>
      </c>
      <c r="E73" s="18"/>
      <c r="F73" s="18"/>
      <c r="G73" s="18"/>
      <c r="I73" s="27" t="s">
        <v>25</v>
      </c>
      <c r="J73" s="28">
        <v>29.0</v>
      </c>
      <c r="K73" s="29" t="s">
        <v>27</v>
      </c>
      <c r="L73" s="30"/>
      <c r="M73" s="30"/>
      <c r="N73" s="31"/>
    </row>
    <row r="74">
      <c r="A74" s="14"/>
      <c r="B74" s="23"/>
      <c r="C74" s="23"/>
      <c r="D74" s="17" t="s">
        <v>20</v>
      </c>
      <c r="E74" s="18"/>
      <c r="F74" s="18"/>
      <c r="G74" s="18"/>
      <c r="I74" s="32"/>
      <c r="J74" s="33"/>
      <c r="K74" s="34"/>
      <c r="L74" s="30"/>
      <c r="M74" s="35"/>
      <c r="N74" s="36"/>
    </row>
    <row r="75">
      <c r="A75" s="14"/>
      <c r="B75" s="25" t="s">
        <v>29</v>
      </c>
      <c r="C75" s="26">
        <v>30.0</v>
      </c>
      <c r="D75" s="17" t="s">
        <v>12</v>
      </c>
      <c r="E75" s="18"/>
      <c r="F75" s="18"/>
      <c r="G75" s="18"/>
      <c r="I75" s="20"/>
      <c r="J75" s="21"/>
      <c r="K75" s="21"/>
      <c r="L75" s="21"/>
      <c r="M75" s="21"/>
      <c r="N75" s="22"/>
    </row>
    <row r="76">
      <c r="A76" s="14"/>
      <c r="B76" s="24"/>
      <c r="C76" s="24"/>
      <c r="D76" s="17" t="s">
        <v>16</v>
      </c>
      <c r="E76" s="18"/>
      <c r="F76" s="18"/>
      <c r="G76" s="18"/>
      <c r="I76" s="27" t="s">
        <v>29</v>
      </c>
      <c r="J76" s="43">
        <v>30.0</v>
      </c>
      <c r="K76" s="44" t="s">
        <v>27</v>
      </c>
      <c r="L76" s="30"/>
      <c r="M76" s="30"/>
      <c r="N76" s="31"/>
    </row>
    <row r="77">
      <c r="A77" s="14"/>
      <c r="B77" s="23"/>
      <c r="C77" s="23"/>
      <c r="D77" s="17" t="s">
        <v>20</v>
      </c>
      <c r="E77" s="18"/>
      <c r="F77" s="18"/>
      <c r="G77" s="18"/>
      <c r="I77" s="32"/>
      <c r="J77" s="34"/>
      <c r="K77" s="45"/>
      <c r="L77" s="30"/>
      <c r="M77" s="35"/>
      <c r="N77" s="36"/>
    </row>
    <row r="78">
      <c r="A78" s="14"/>
      <c r="B78" s="25" t="s">
        <v>31</v>
      </c>
      <c r="C78" s="26">
        <v>31.0</v>
      </c>
      <c r="D78" s="17" t="s">
        <v>12</v>
      </c>
      <c r="E78" s="18"/>
      <c r="F78" s="18"/>
      <c r="G78" s="18"/>
      <c r="I78" s="20"/>
      <c r="J78" s="21"/>
      <c r="K78" s="21"/>
      <c r="L78" s="21"/>
      <c r="M78" s="21"/>
      <c r="N78" s="22"/>
    </row>
    <row r="79">
      <c r="A79" s="14"/>
      <c r="B79" s="24"/>
      <c r="C79" s="24"/>
      <c r="D79" s="17" t="s">
        <v>16</v>
      </c>
      <c r="E79" s="18"/>
      <c r="F79" s="18"/>
      <c r="G79" s="18"/>
      <c r="I79" s="27" t="s">
        <v>31</v>
      </c>
      <c r="J79" s="46">
        <v>31.0</v>
      </c>
      <c r="K79" s="44" t="s">
        <v>27</v>
      </c>
      <c r="L79" s="30"/>
      <c r="M79" s="30"/>
      <c r="N79" s="31"/>
    </row>
    <row r="80">
      <c r="A80" s="14"/>
      <c r="B80" s="23"/>
      <c r="C80" s="23"/>
      <c r="D80" s="17" t="s">
        <v>20</v>
      </c>
      <c r="E80" s="18"/>
      <c r="F80" s="18"/>
      <c r="G80" s="18"/>
      <c r="I80" s="32"/>
      <c r="J80" s="45"/>
      <c r="K80" s="45"/>
      <c r="L80" s="30"/>
      <c r="M80" s="35"/>
      <c r="N80" s="36"/>
    </row>
    <row r="81">
      <c r="E81" s="63">
        <f>COUNTIF(E4:E80, "Mira") + Countif(E4:E80, "Tuna")+ Countif(E4:E80, "Guilherme")+ Countif(E4:E80, "Pablo")+ Countif(E4:E80, "Tavares")+ Countif(E4:E80, "Sobral") + Countif(E4:E80, "Pipo")+ Countif(E4:E80, "Enfermagem")+ Countif(E4:E80, "Literatus")+ Countif(E4:E80, "Medicina") + Countif(E4:E80, "Marco Paulo")</f>
        <v>0</v>
      </c>
      <c r="F81" s="63">
        <f>Countif(F4:F80, "Gift") + Countif(F4:F80, "Monte") + Countif(F4:F80, "Sorte") + Countif(F4:F80, "Afonso") + Countif(F4:F80, "Geni") + Countif(F4:F80, "JP")</f>
        <v>0</v>
      </c>
      <c r="G81" s="63">
        <f>COUNTIF(G4:G80, "Apostas") + COUNTIF(G4:G80, "Prodígio") + COUNTIF(G4:G80, "Poço") + COUNTIF(G4:G80, "Pedro")</f>
        <v>0</v>
      </c>
      <c r="I81" s="60"/>
      <c r="J81" s="61"/>
      <c r="K81" s="61"/>
      <c r="L81" s="61"/>
      <c r="M81" s="61"/>
      <c r="N81" s="62"/>
    </row>
    <row r="82">
      <c r="L82" s="64">
        <f>COUNTIF(L4:L81, "Mira") + Countif(L4:L81, "Tuna")+ Countif(L4:L81, "Guilherme")+ Countif(L4:L81, "Pablo")+ Countif(L4:L81, "Tavares")+ Countif(L4:L81, "Sobral") + Countif(L4:L81, "Pipo")+ Countif(L4:L81, "Enfermagem")+ Countif(L4:L81, "Literatus")+ Countif(L4:L81, "Medicina")</f>
        <v>0</v>
      </c>
      <c r="M82" s="64">
        <f>Countif(M4:M76, "Gift") + Countif(M4:M76, "Monte") + Countif(M4:M76, "Sorte") + Countif(M4:M76, "Afonso") + Countif(M4:M76, "Geni") + Countif(M4:M76, "JP")</f>
        <v>0</v>
      </c>
      <c r="N82" s="64">
        <f>Countif(N4:N76, "Apostas") + Countif(N4:N76, "Prodígio") + Countif(N4:N76, "Poço")</f>
        <v>0</v>
      </c>
    </row>
    <row r="86" ht="22.5" customHeight="1">
      <c r="D86" s="65" t="s">
        <v>36</v>
      </c>
      <c r="E86" s="65" t="s">
        <v>37</v>
      </c>
      <c r="F86" s="65" t="s">
        <v>38</v>
      </c>
      <c r="G86" s="66" t="s">
        <v>39</v>
      </c>
      <c r="H86" s="67" t="s">
        <v>40</v>
      </c>
      <c r="K86" s="65" t="s">
        <v>36</v>
      </c>
      <c r="L86" s="65" t="s">
        <v>37</v>
      </c>
      <c r="M86" s="65" t="s">
        <v>38</v>
      </c>
      <c r="N86" s="66" t="s">
        <v>39</v>
      </c>
      <c r="O86" s="67" t="s">
        <v>40</v>
      </c>
      <c r="R86" s="68" t="s">
        <v>41</v>
      </c>
    </row>
    <row r="87" ht="22.5" customHeight="1">
      <c r="C87" s="69" t="s">
        <v>42</v>
      </c>
      <c r="D87" s="70" t="s">
        <v>22</v>
      </c>
      <c r="E87" s="71">
        <f>COUNTIF(E3:E80,"Tuna")</f>
        <v>0</v>
      </c>
      <c r="F87" s="72">
        <f t="shared" ref="F87:F103" si="2">((75/3)*E87)</f>
        <v>0</v>
      </c>
      <c r="G87" s="73">
        <f>E81</f>
        <v>0</v>
      </c>
      <c r="H87" s="74">
        <f>SUM(F87:F93)</f>
        <v>0</v>
      </c>
      <c r="J87" s="69" t="s">
        <v>42</v>
      </c>
      <c r="K87" s="70" t="s">
        <v>22</v>
      </c>
      <c r="L87" s="71">
        <f>COUNTIF(L1:L76,"Tuna")</f>
        <v>0</v>
      </c>
      <c r="M87" s="72">
        <f t="shared" ref="M87:M102" si="3">((75/3)*L87)</f>
        <v>0</v>
      </c>
      <c r="N87" s="73">
        <f t="shared" ref="N87:O87" si="1">SUM(L87:L93)</f>
        <v>0</v>
      </c>
      <c r="O87" s="74">
        <f t="shared" si="1"/>
        <v>0</v>
      </c>
      <c r="Q87" s="75" t="s">
        <v>22</v>
      </c>
      <c r="R87" s="76">
        <f t="shared" ref="R87:R103" si="4">SUM(F87,M87)</f>
        <v>0</v>
      </c>
    </row>
    <row r="88" ht="22.5" customHeight="1">
      <c r="C88" s="77"/>
      <c r="D88" s="78" t="s">
        <v>30</v>
      </c>
      <c r="E88" s="79">
        <f>COUNTIF(E3:E80,"Mira")</f>
        <v>0</v>
      </c>
      <c r="F88" s="80">
        <f t="shared" si="2"/>
        <v>0</v>
      </c>
      <c r="G88" s="81"/>
      <c r="H88" s="82"/>
      <c r="J88" s="77"/>
      <c r="K88" s="78" t="s">
        <v>30</v>
      </c>
      <c r="L88" s="79">
        <f>COUNTIF(L1:L76,"Mira")</f>
        <v>0</v>
      </c>
      <c r="M88" s="80">
        <f t="shared" si="3"/>
        <v>0</v>
      </c>
      <c r="N88" s="81"/>
      <c r="O88" s="82"/>
      <c r="Q88" s="83" t="s">
        <v>30</v>
      </c>
      <c r="R88" s="76">
        <f t="shared" si="4"/>
        <v>0</v>
      </c>
    </row>
    <row r="89" ht="22.5" customHeight="1">
      <c r="C89" s="77"/>
      <c r="D89" s="78" t="s">
        <v>13</v>
      </c>
      <c r="E89" s="79">
        <f>COUNTIF(E3:E80,"Pipo")</f>
        <v>0</v>
      </c>
      <c r="F89" s="80">
        <f t="shared" si="2"/>
        <v>0</v>
      </c>
      <c r="G89" s="81"/>
      <c r="H89" s="82"/>
      <c r="J89" s="77"/>
      <c r="K89" s="78" t="s">
        <v>13</v>
      </c>
      <c r="L89" s="79">
        <f>COUNTIF(L1:L76,"Pipo")</f>
        <v>0</v>
      </c>
      <c r="M89" s="84">
        <f t="shared" si="3"/>
        <v>0</v>
      </c>
      <c r="N89" s="81"/>
      <c r="O89" s="82"/>
      <c r="Q89" s="83" t="s">
        <v>13</v>
      </c>
      <c r="R89" s="76">
        <f t="shared" si="4"/>
        <v>0</v>
      </c>
    </row>
    <row r="90" ht="22.5" customHeight="1">
      <c r="C90" s="77"/>
      <c r="D90" s="85" t="s">
        <v>43</v>
      </c>
      <c r="E90" s="86">
        <f>COUNTIF(E3:E80,"Pablo")</f>
        <v>0</v>
      </c>
      <c r="F90" s="87">
        <f t="shared" si="2"/>
        <v>0</v>
      </c>
      <c r="G90" s="81"/>
      <c r="H90" s="82"/>
      <c r="J90" s="77"/>
      <c r="K90" s="85" t="s">
        <v>43</v>
      </c>
      <c r="L90" s="88">
        <f>COUNTIF(L1:L76,"Pablo")</f>
        <v>0</v>
      </c>
      <c r="M90" s="89">
        <f t="shared" si="3"/>
        <v>0</v>
      </c>
      <c r="N90" s="81"/>
      <c r="O90" s="82"/>
      <c r="Q90" s="90" t="s">
        <v>43</v>
      </c>
      <c r="R90" s="76">
        <f t="shared" si="4"/>
        <v>0</v>
      </c>
    </row>
    <row r="91" ht="22.5" customHeight="1">
      <c r="C91" s="77"/>
      <c r="D91" s="85" t="s">
        <v>44</v>
      </c>
      <c r="E91" s="86">
        <f>COUNTIF(E3:E80,"Tavares")</f>
        <v>0</v>
      </c>
      <c r="F91" s="87">
        <f t="shared" si="2"/>
        <v>0</v>
      </c>
      <c r="G91" s="81"/>
      <c r="H91" s="82"/>
      <c r="J91" s="77"/>
      <c r="K91" s="85" t="s">
        <v>44</v>
      </c>
      <c r="L91" s="88">
        <f>COUNTIF(L1:L76,"Tavares")</f>
        <v>0</v>
      </c>
      <c r="M91" s="89">
        <f t="shared" si="3"/>
        <v>0</v>
      </c>
      <c r="N91" s="81"/>
      <c r="O91" s="82"/>
      <c r="Q91" s="90" t="s">
        <v>44</v>
      </c>
      <c r="R91" s="76">
        <f t="shared" si="4"/>
        <v>0</v>
      </c>
    </row>
    <row r="92" ht="22.5" customHeight="1">
      <c r="C92" s="77"/>
      <c r="D92" s="85" t="s">
        <v>45</v>
      </c>
      <c r="E92" s="86">
        <f>COUNTIF(E3:E80,"Guilherme")</f>
        <v>0</v>
      </c>
      <c r="F92" s="87">
        <f t="shared" si="2"/>
        <v>0</v>
      </c>
      <c r="G92" s="81"/>
      <c r="H92" s="82"/>
      <c r="J92" s="77"/>
      <c r="K92" s="85" t="s">
        <v>45</v>
      </c>
      <c r="L92" s="88">
        <f>COUNTIF(L4:L83,"Guilherme")</f>
        <v>0</v>
      </c>
      <c r="M92" s="89">
        <f t="shared" si="3"/>
        <v>0</v>
      </c>
      <c r="N92" s="81"/>
      <c r="O92" s="82"/>
      <c r="Q92" s="90" t="s">
        <v>45</v>
      </c>
      <c r="R92" s="76">
        <f t="shared" si="4"/>
        <v>0</v>
      </c>
    </row>
    <row r="93" ht="22.5" customHeight="1">
      <c r="C93" s="91"/>
      <c r="D93" s="92" t="s">
        <v>46</v>
      </c>
      <c r="E93" s="93">
        <f>COUNTIF(E3:E80,"Tomás")</f>
        <v>0</v>
      </c>
      <c r="F93" s="94">
        <f t="shared" si="2"/>
        <v>0</v>
      </c>
      <c r="G93" s="95"/>
      <c r="H93" s="96"/>
      <c r="J93" s="91"/>
      <c r="K93" s="92" t="s">
        <v>46</v>
      </c>
      <c r="L93" s="93">
        <f>COUNTIF(L2:L80,"Tomás")</f>
        <v>0</v>
      </c>
      <c r="M93" s="94">
        <f t="shared" si="3"/>
        <v>0</v>
      </c>
      <c r="N93" s="95"/>
      <c r="O93" s="96"/>
      <c r="Q93" s="97" t="s">
        <v>46</v>
      </c>
      <c r="R93" s="98">
        <f t="shared" si="4"/>
        <v>0</v>
      </c>
    </row>
    <row r="94" ht="22.5" customHeight="1">
      <c r="C94" s="69" t="s">
        <v>47</v>
      </c>
      <c r="D94" s="99" t="s">
        <v>35</v>
      </c>
      <c r="E94" s="100">
        <f>Countif(F3:F80,"Gift")</f>
        <v>0</v>
      </c>
      <c r="F94" s="101">
        <f t="shared" si="2"/>
        <v>0</v>
      </c>
      <c r="G94" s="102">
        <f>F81</f>
        <v>0</v>
      </c>
      <c r="H94" s="103">
        <f>SUM(F94:F99)</f>
        <v>0</v>
      </c>
      <c r="J94" s="69" t="s">
        <v>47</v>
      </c>
      <c r="K94" s="99" t="s">
        <v>35</v>
      </c>
      <c r="L94" s="100">
        <f>Countif(M1:M76,"Gift")</f>
        <v>0</v>
      </c>
      <c r="M94" s="101">
        <f t="shared" si="3"/>
        <v>0</v>
      </c>
      <c r="N94" s="102">
        <f t="shared" ref="N94:O94" si="5">SUM(L94:L99)</f>
        <v>0</v>
      </c>
      <c r="O94" s="103">
        <f t="shared" si="5"/>
        <v>0</v>
      </c>
      <c r="Q94" s="104" t="s">
        <v>35</v>
      </c>
      <c r="R94" s="105">
        <f t="shared" si="4"/>
        <v>0</v>
      </c>
    </row>
    <row r="95" ht="22.5" customHeight="1">
      <c r="C95" s="77"/>
      <c r="D95" s="99" t="s">
        <v>34</v>
      </c>
      <c r="E95" s="100">
        <f>Countif(F3:F80,"Monte")</f>
        <v>0</v>
      </c>
      <c r="F95" s="101">
        <f t="shared" si="2"/>
        <v>0</v>
      </c>
      <c r="G95" s="106"/>
      <c r="H95" s="82"/>
      <c r="J95" s="77"/>
      <c r="K95" s="99" t="s">
        <v>34</v>
      </c>
      <c r="L95" s="100">
        <f>Countif(M1:M76,"Monte")</f>
        <v>0</v>
      </c>
      <c r="M95" s="101">
        <f t="shared" si="3"/>
        <v>0</v>
      </c>
      <c r="N95" s="106"/>
      <c r="O95" s="82"/>
      <c r="Q95" s="83" t="s">
        <v>34</v>
      </c>
      <c r="R95" s="76">
        <f t="shared" si="4"/>
        <v>0</v>
      </c>
    </row>
    <row r="96" ht="22.5" customHeight="1">
      <c r="C96" s="77"/>
      <c r="D96" s="99" t="s">
        <v>26</v>
      </c>
      <c r="E96" s="100">
        <f>Countif(F3:F80,"Sorte")</f>
        <v>0</v>
      </c>
      <c r="F96" s="101">
        <f t="shared" si="2"/>
        <v>0</v>
      </c>
      <c r="G96" s="106"/>
      <c r="H96" s="82"/>
      <c r="J96" s="77"/>
      <c r="K96" s="99" t="s">
        <v>26</v>
      </c>
      <c r="L96" s="100">
        <f>Countif(M1:M76,"Sorte")</f>
        <v>0</v>
      </c>
      <c r="M96" s="101">
        <f t="shared" si="3"/>
        <v>0</v>
      </c>
      <c r="N96" s="106"/>
      <c r="O96" s="82"/>
      <c r="Q96" s="83" t="s">
        <v>26</v>
      </c>
      <c r="R96" s="76">
        <f t="shared" si="4"/>
        <v>0</v>
      </c>
    </row>
    <row r="97" ht="22.5" customHeight="1">
      <c r="C97" s="77"/>
      <c r="D97" s="99" t="s">
        <v>14</v>
      </c>
      <c r="E97" s="100">
        <f>Countif(F3:F80,"Afonso")</f>
        <v>0</v>
      </c>
      <c r="F97" s="101">
        <f t="shared" si="2"/>
        <v>0</v>
      </c>
      <c r="G97" s="106"/>
      <c r="H97" s="82"/>
      <c r="J97" s="77"/>
      <c r="K97" s="99" t="s">
        <v>14</v>
      </c>
      <c r="L97" s="100">
        <f>Countif(M1:M76,"Afonso")</f>
        <v>0</v>
      </c>
      <c r="M97" s="101">
        <f t="shared" si="3"/>
        <v>0</v>
      </c>
      <c r="N97" s="106"/>
      <c r="O97" s="82"/>
      <c r="Q97" s="83" t="s">
        <v>14</v>
      </c>
      <c r="R97" s="76">
        <f t="shared" si="4"/>
        <v>0</v>
      </c>
    </row>
    <row r="98" ht="22.5" customHeight="1">
      <c r="C98" s="77"/>
      <c r="D98" s="99" t="s">
        <v>18</v>
      </c>
      <c r="E98" s="107">
        <f>Countif(F3:F80,"Geni")</f>
        <v>0</v>
      </c>
      <c r="F98" s="108">
        <f t="shared" si="2"/>
        <v>0</v>
      </c>
      <c r="G98" s="106"/>
      <c r="H98" s="82"/>
      <c r="J98" s="77"/>
      <c r="K98" s="99" t="s">
        <v>18</v>
      </c>
      <c r="L98" s="100">
        <f>Countif(M1:M76,"Geni")</f>
        <v>0</v>
      </c>
      <c r="M98" s="101">
        <f t="shared" si="3"/>
        <v>0</v>
      </c>
      <c r="N98" s="106"/>
      <c r="O98" s="82"/>
      <c r="Q98" s="83" t="s">
        <v>18</v>
      </c>
      <c r="R98" s="76">
        <f t="shared" si="4"/>
        <v>0</v>
      </c>
    </row>
    <row r="99" ht="22.5" customHeight="1">
      <c r="C99" s="91"/>
      <c r="D99" s="85" t="s">
        <v>48</v>
      </c>
      <c r="E99" s="86">
        <f>Countif(F3:F80,"JP")</f>
        <v>0</v>
      </c>
      <c r="F99" s="87">
        <f t="shared" si="2"/>
        <v>0</v>
      </c>
      <c r="G99" s="106"/>
      <c r="H99" s="82"/>
      <c r="J99" s="91"/>
      <c r="K99" s="92" t="s">
        <v>48</v>
      </c>
      <c r="L99" s="93">
        <f>Countif(M1:M76,"JP")</f>
        <v>0</v>
      </c>
      <c r="M99" s="94">
        <f t="shared" si="3"/>
        <v>0</v>
      </c>
      <c r="N99" s="106"/>
      <c r="O99" s="82"/>
      <c r="Q99" s="97" t="s">
        <v>48</v>
      </c>
      <c r="R99" s="98">
        <f t="shared" si="4"/>
        <v>0</v>
      </c>
    </row>
    <row r="100" ht="22.5" customHeight="1">
      <c r="C100" s="109" t="s">
        <v>49</v>
      </c>
      <c r="D100" s="110" t="s">
        <v>19</v>
      </c>
      <c r="E100" s="111">
        <f>Countif(G3:G80,"Apostas")</f>
        <v>0</v>
      </c>
      <c r="F100" s="112">
        <f t="shared" si="2"/>
        <v>0</v>
      </c>
      <c r="G100" s="113">
        <f>G81</f>
        <v>0</v>
      </c>
      <c r="H100" s="74">
        <f>SUM(F100:F102)</f>
        <v>0</v>
      </c>
      <c r="J100" s="69" t="s">
        <v>49</v>
      </c>
      <c r="K100" s="114" t="s">
        <v>19</v>
      </c>
      <c r="L100" s="115">
        <f>Countif(N1:N76,"Apostas")</f>
        <v>0</v>
      </c>
      <c r="M100" s="112">
        <f t="shared" si="3"/>
        <v>0</v>
      </c>
      <c r="N100" s="73">
        <f t="shared" ref="N100:O100" si="6">SUM(L100:L102)</f>
        <v>0</v>
      </c>
      <c r="O100" s="74">
        <f t="shared" si="6"/>
        <v>0</v>
      </c>
      <c r="Q100" s="104" t="s">
        <v>19</v>
      </c>
      <c r="R100" s="105">
        <f t="shared" si="4"/>
        <v>0</v>
      </c>
    </row>
    <row r="101" ht="22.5" customHeight="1">
      <c r="C101" s="116"/>
      <c r="D101" s="117" t="s">
        <v>15</v>
      </c>
      <c r="E101" s="118">
        <f>Countif(G3:G80,"Prodígio")</f>
        <v>0</v>
      </c>
      <c r="F101" s="119">
        <f t="shared" si="2"/>
        <v>0</v>
      </c>
      <c r="G101" s="106"/>
      <c r="H101" s="82"/>
      <c r="J101" s="77"/>
      <c r="K101" s="120" t="s">
        <v>15</v>
      </c>
      <c r="L101" s="121">
        <f>Countif(N1:N76,"Prodígio")</f>
        <v>0</v>
      </c>
      <c r="M101" s="119">
        <f t="shared" si="3"/>
        <v>0</v>
      </c>
      <c r="N101" s="81"/>
      <c r="O101" s="82"/>
      <c r="Q101" s="83" t="s">
        <v>15</v>
      </c>
      <c r="R101" s="76">
        <f t="shared" si="4"/>
        <v>0</v>
      </c>
    </row>
    <row r="102" ht="22.5" customHeight="1">
      <c r="C102" s="116"/>
      <c r="D102" s="122" t="s">
        <v>50</v>
      </c>
      <c r="E102" s="88">
        <f>Countif(G1:G80,"Poço")</f>
        <v>0</v>
      </c>
      <c r="F102" s="89">
        <f t="shared" si="2"/>
        <v>0</v>
      </c>
      <c r="G102" s="106"/>
      <c r="H102" s="82"/>
      <c r="J102" s="77"/>
      <c r="K102" s="123" t="s">
        <v>50</v>
      </c>
      <c r="L102" s="86">
        <f>Countif(N1:N76,"Poço")</f>
        <v>0</v>
      </c>
      <c r="M102" s="89">
        <f t="shared" si="3"/>
        <v>0</v>
      </c>
      <c r="N102" s="81"/>
      <c r="O102" s="82"/>
      <c r="Q102" s="90" t="s">
        <v>50</v>
      </c>
      <c r="R102" s="76">
        <f t="shared" si="4"/>
        <v>0</v>
      </c>
    </row>
    <row r="103" ht="22.5" customHeight="1">
      <c r="C103" s="124"/>
      <c r="D103" s="122" t="s">
        <v>24</v>
      </c>
      <c r="E103" s="88">
        <f>Countif(G2:G81,"Pedro")</f>
        <v>0</v>
      </c>
      <c r="F103" s="125">
        <f t="shared" si="2"/>
        <v>0</v>
      </c>
      <c r="G103" s="126"/>
      <c r="H103" s="127"/>
      <c r="J103" s="91"/>
      <c r="K103" s="123" t="s">
        <v>24</v>
      </c>
      <c r="L103" s="128">
        <f>Countif(N2:N76,"Pedro")</f>
        <v>0</v>
      </c>
      <c r="M103" s="129">
        <f>((60/3)*L103)</f>
        <v>0</v>
      </c>
      <c r="N103" s="130"/>
      <c r="O103" s="127"/>
      <c r="Q103" s="131" t="s">
        <v>48</v>
      </c>
      <c r="R103" s="76">
        <f t="shared" si="4"/>
        <v>0</v>
      </c>
    </row>
    <row r="104">
      <c r="H104" s="132">
        <f>SUM(H87:H102)</f>
        <v>0</v>
      </c>
      <c r="O104" s="132">
        <f>SUM(O87:O102)</f>
        <v>0</v>
      </c>
      <c r="Q104" s="133"/>
      <c r="R104" s="134">
        <f>SUM(H104+O104)</f>
        <v>0</v>
      </c>
    </row>
    <row r="105">
      <c r="H105" s="135"/>
      <c r="O105" s="135"/>
      <c r="Q105" s="133"/>
      <c r="R105" s="135"/>
    </row>
    <row r="108" ht="22.5" customHeight="1">
      <c r="D108" s="136" t="s">
        <v>36</v>
      </c>
      <c r="E108" s="136" t="s">
        <v>37</v>
      </c>
      <c r="F108" s="136" t="s">
        <v>38</v>
      </c>
      <c r="G108" s="137" t="s">
        <v>40</v>
      </c>
      <c r="J108" s="138" t="s">
        <v>6</v>
      </c>
      <c r="K108" s="100" t="s">
        <v>51</v>
      </c>
      <c r="Q108" s="139" t="s">
        <v>52</v>
      </c>
    </row>
    <row r="109" ht="22.5" customHeight="1">
      <c r="C109" s="140" t="s">
        <v>53</v>
      </c>
      <c r="D109" s="141" t="s">
        <v>54</v>
      </c>
      <c r="E109" s="142">
        <f>COUNTIF(E36:E80,"Medicina")</f>
        <v>0</v>
      </c>
      <c r="F109" s="143">
        <f t="shared" ref="F109:F111" si="7">((60/3)*E109)</f>
        <v>0</v>
      </c>
      <c r="G109" s="144">
        <f>SUM(F109:F111)</f>
        <v>0</v>
      </c>
      <c r="J109" s="145" t="s">
        <v>55</v>
      </c>
      <c r="K109" s="146">
        <v>20.0</v>
      </c>
      <c r="P109" s="147"/>
      <c r="Q109" s="148" t="s">
        <v>56</v>
      </c>
      <c r="R109" s="149"/>
    </row>
    <row r="110" ht="22.5" customHeight="1">
      <c r="C110" s="116"/>
      <c r="D110" s="150" t="s">
        <v>57</v>
      </c>
      <c r="E110" s="88">
        <f>COUNTIF(E36:E80,"Literatus")</f>
        <v>0</v>
      </c>
      <c r="F110" s="151">
        <f t="shared" si="7"/>
        <v>0</v>
      </c>
      <c r="G110" s="152"/>
      <c r="J110" s="153" t="s">
        <v>58</v>
      </c>
      <c r="K110" s="154">
        <v>20.0</v>
      </c>
      <c r="P110" s="155"/>
      <c r="Q110" s="156" t="s">
        <v>59</v>
      </c>
      <c r="R110" s="157"/>
    </row>
    <row r="111" ht="22.5" customHeight="1">
      <c r="C111" s="124"/>
      <c r="D111" s="158" t="s">
        <v>60</v>
      </c>
      <c r="E111" s="159">
        <f>COUNTIF(E36:E80,"Enfermagem")</f>
        <v>0</v>
      </c>
      <c r="F111" s="160">
        <f t="shared" si="7"/>
        <v>0</v>
      </c>
      <c r="G111" s="161"/>
      <c r="J111" s="153" t="s">
        <v>61</v>
      </c>
      <c r="K111" s="154">
        <v>20.0</v>
      </c>
      <c r="P111" s="162"/>
      <c r="Q111" s="156" t="s">
        <v>62</v>
      </c>
      <c r="R111" s="157"/>
    </row>
    <row r="112" ht="22.5" customHeight="1">
      <c r="G112" s="163">
        <f>SUM(G109:G111)</f>
        <v>0</v>
      </c>
      <c r="J112" s="164" t="s">
        <v>63</v>
      </c>
      <c r="K112" s="165">
        <v>20.0</v>
      </c>
      <c r="P112" s="166"/>
      <c r="Q112" s="148" t="s">
        <v>64</v>
      </c>
      <c r="R112" s="149"/>
    </row>
    <row r="113">
      <c r="G113" s="161"/>
      <c r="P113" s="167" t="s">
        <v>65</v>
      </c>
      <c r="Q113" s="156" t="s">
        <v>66</v>
      </c>
      <c r="R113" s="157"/>
    </row>
    <row r="114">
      <c r="P114" s="168" t="s">
        <v>65</v>
      </c>
      <c r="Q114" s="148" t="s">
        <v>67</v>
      </c>
      <c r="R114" s="157"/>
    </row>
    <row r="115">
      <c r="P115" s="169" t="s">
        <v>28</v>
      </c>
      <c r="Q115" s="148" t="s">
        <v>68</v>
      </c>
      <c r="R115" s="157"/>
    </row>
    <row r="116">
      <c r="P116" s="170"/>
      <c r="Q116" s="156" t="s">
        <v>69</v>
      </c>
      <c r="R116" s="157"/>
    </row>
    <row r="117">
      <c r="P117" s="171" t="s">
        <v>65</v>
      </c>
      <c r="Q117" s="148" t="s">
        <v>70</v>
      </c>
      <c r="R117" s="157"/>
    </row>
    <row r="118">
      <c r="P118" s="172">
        <v>46.0</v>
      </c>
      <c r="Q118" s="156" t="s">
        <v>71</v>
      </c>
      <c r="R118" s="157"/>
    </row>
  </sheetData>
  <mergeCells count="136">
    <mergeCell ref="C17:C18"/>
    <mergeCell ref="C19:C20"/>
    <mergeCell ref="C21:C23"/>
    <mergeCell ref="C24:C26"/>
    <mergeCell ref="C27:C29"/>
    <mergeCell ref="C30:C31"/>
    <mergeCell ref="C32:C33"/>
    <mergeCell ref="C34:C35"/>
    <mergeCell ref="C36:C37"/>
    <mergeCell ref="B38:B40"/>
    <mergeCell ref="C38:C40"/>
    <mergeCell ref="B41:B43"/>
    <mergeCell ref="C41:C43"/>
    <mergeCell ref="C44:C46"/>
    <mergeCell ref="B61:B63"/>
    <mergeCell ref="B64:B65"/>
    <mergeCell ref="B66:B67"/>
    <mergeCell ref="B68:B69"/>
    <mergeCell ref="B70:B71"/>
    <mergeCell ref="B72:B74"/>
    <mergeCell ref="B75:B77"/>
    <mergeCell ref="B78:B80"/>
    <mergeCell ref="B44:B46"/>
    <mergeCell ref="B47:B48"/>
    <mergeCell ref="B49:B50"/>
    <mergeCell ref="B51:B52"/>
    <mergeCell ref="B53:B54"/>
    <mergeCell ref="B55:B57"/>
    <mergeCell ref="B58:B60"/>
    <mergeCell ref="C47:C48"/>
    <mergeCell ref="C49:C50"/>
    <mergeCell ref="C51:C52"/>
    <mergeCell ref="C53:C54"/>
    <mergeCell ref="C55:C57"/>
    <mergeCell ref="C58:C60"/>
    <mergeCell ref="C61:C63"/>
    <mergeCell ref="C87:C93"/>
    <mergeCell ref="C94:C99"/>
    <mergeCell ref="C100:C103"/>
    <mergeCell ref="C109:C111"/>
    <mergeCell ref="C64:C65"/>
    <mergeCell ref="C66:C67"/>
    <mergeCell ref="C68:C69"/>
    <mergeCell ref="C70:C71"/>
    <mergeCell ref="C72:C74"/>
    <mergeCell ref="C75:C77"/>
    <mergeCell ref="C78:C80"/>
    <mergeCell ref="B1:C1"/>
    <mergeCell ref="B2:G2"/>
    <mergeCell ref="J2:K2"/>
    <mergeCell ref="I3:N3"/>
    <mergeCell ref="B4:B6"/>
    <mergeCell ref="C4:C6"/>
    <mergeCell ref="I4:I5"/>
    <mergeCell ref="B7:B9"/>
    <mergeCell ref="C7:C9"/>
    <mergeCell ref="B10:B12"/>
    <mergeCell ref="C10:C12"/>
    <mergeCell ref="B13:B14"/>
    <mergeCell ref="C13:C14"/>
    <mergeCell ref="C15:C16"/>
    <mergeCell ref="J4:J5"/>
    <mergeCell ref="K4:K5"/>
    <mergeCell ref="I7:I8"/>
    <mergeCell ref="J7:J8"/>
    <mergeCell ref="K7:K8"/>
    <mergeCell ref="J10:J11"/>
    <mergeCell ref="K10:K11"/>
    <mergeCell ref="I10:I11"/>
    <mergeCell ref="I21:I22"/>
    <mergeCell ref="J21:J22"/>
    <mergeCell ref="K21:K22"/>
    <mergeCell ref="I24:I25"/>
    <mergeCell ref="J24:J25"/>
    <mergeCell ref="K24:K25"/>
    <mergeCell ref="B32:B33"/>
    <mergeCell ref="B34:B35"/>
    <mergeCell ref="B36:B37"/>
    <mergeCell ref="B15:B16"/>
    <mergeCell ref="B17:B18"/>
    <mergeCell ref="B19:B20"/>
    <mergeCell ref="B21:B23"/>
    <mergeCell ref="B24:B26"/>
    <mergeCell ref="B27:B29"/>
    <mergeCell ref="B30:B31"/>
    <mergeCell ref="I45:I46"/>
    <mergeCell ref="J45:J46"/>
    <mergeCell ref="K45:K46"/>
    <mergeCell ref="N94:N99"/>
    <mergeCell ref="N100:N103"/>
    <mergeCell ref="R104:R105"/>
    <mergeCell ref="Q108:R108"/>
    <mergeCell ref="G109:G111"/>
    <mergeCell ref="G112:G113"/>
    <mergeCell ref="G94:G99"/>
    <mergeCell ref="H94:H99"/>
    <mergeCell ref="J94:J99"/>
    <mergeCell ref="O94:O99"/>
    <mergeCell ref="G100:G103"/>
    <mergeCell ref="J100:J103"/>
    <mergeCell ref="O100:O103"/>
    <mergeCell ref="J42:J43"/>
    <mergeCell ref="K42:K43"/>
    <mergeCell ref="I27:I28"/>
    <mergeCell ref="J27:J28"/>
    <mergeCell ref="K27:K28"/>
    <mergeCell ref="I39:I40"/>
    <mergeCell ref="J39:J40"/>
    <mergeCell ref="K39:K40"/>
    <mergeCell ref="I42:I43"/>
    <mergeCell ref="J62:J63"/>
    <mergeCell ref="K62:K63"/>
    <mergeCell ref="I56:I57"/>
    <mergeCell ref="J56:J57"/>
    <mergeCell ref="K56:K57"/>
    <mergeCell ref="I59:I60"/>
    <mergeCell ref="J59:J60"/>
    <mergeCell ref="K59:K60"/>
    <mergeCell ref="I62:I63"/>
    <mergeCell ref="I73:I74"/>
    <mergeCell ref="J73:J74"/>
    <mergeCell ref="K73:K74"/>
    <mergeCell ref="I76:I77"/>
    <mergeCell ref="J76:J77"/>
    <mergeCell ref="K76:K77"/>
    <mergeCell ref="I79:I80"/>
    <mergeCell ref="J79:J80"/>
    <mergeCell ref="K79:K80"/>
    <mergeCell ref="G87:G93"/>
    <mergeCell ref="H87:H93"/>
    <mergeCell ref="J87:J93"/>
    <mergeCell ref="N87:N93"/>
    <mergeCell ref="O87:O93"/>
    <mergeCell ref="H100:H103"/>
    <mergeCell ref="H104:H105"/>
    <mergeCell ref="O104:O105"/>
  </mergeCells>
  <conditionalFormatting sqref="C108">
    <cfRule type="notContainsBlanks" dxfId="7" priority="1">
      <formula>LEN(TRIM(C108))&gt;0</formula>
    </cfRule>
  </conditionalFormatting>
  <dataValidations>
    <dataValidation type="list" allowBlank="1" showErrorMessage="1" sqref="P116">
      <formula1>" -"</formula1>
    </dataValidation>
    <dataValidation type="list" allowBlank="1" showErrorMessage="1" sqref="P113">
      <formula1>"Nome"</formula1>
    </dataValidation>
    <dataValidation type="list" allowBlank="1" showErrorMessage="1" sqref="K4 K10 K21 K27 K39 K45 K56 K62 K73 K79">
      <formula1>"17h00,19h00,17h30"</formula1>
    </dataValidation>
    <dataValidation type="list" allowBlank="1" showErrorMessage="1" sqref="M4 M7 M10 M21 M24 M27 M39 M42 M45 M56 M59 M62 M73 M76 M79 F4:F80">
      <formula1>"Gift,Monte,Sorte,Afonso,Geni,JP,-"</formula1>
    </dataValidation>
    <dataValidation type="list" allowBlank="1" showErrorMessage="1" sqref="K7 K24 K42 K59 K76">
      <formula1>"17h30,19h00,18h30"</formula1>
    </dataValidation>
    <dataValidation type="list" allowBlank="1" showErrorMessage="1" sqref="L4:L5 L7:L8 L10:L11 L21:L22 L24:L25 L27:L28 L39:L40 L42:L43 L45:L46 L56:L57 L59:L60 L62:L63 L73:L74 L76:L77 L79:L80">
      <formula1>"Tuna,Pipo,Mira,Pablo,Tavares,Guilherme,Medicina,Literatus,Enfermagem,-"</formula1>
    </dataValidation>
    <dataValidation type="list" allowBlank="1" showErrorMessage="1" sqref="E4:E80">
      <formula1>"Tuna,Pipo,Mira,Pablo,Tavares,Marco Paulo,Sobral,Medicina,Literatus,Enfermagem,-"</formula1>
    </dataValidation>
    <dataValidation type="custom" allowBlank="1" showDropDown="1" sqref="F87:F103 M87:M103 F109:F111 K109:K112">
      <formula1>AND(ISNUMBER(F87),(NOT(OR(NOT(ISERROR(DATEVALUE(F87))), AND(ISNUMBER(F87), LEFT(CELL("format", F87))="D")))))</formula1>
    </dataValidation>
    <dataValidation type="list" allowBlank="1" showErrorMessage="1" sqref="N4 N7 N10 N21 N24 N27 N39 N42 N45 N56 N59 N62 N73 N76 N79 G4:G80">
      <formula1>"Apostas,Prodígio,Poço,Pedro,-"</formula1>
    </dataValidation>
    <dataValidation type="list" allowBlank="1" showErrorMessage="1" sqref="P115">
      <formula1>"-"</formula1>
    </dataValidation>
    <dataValidation type="list" allowBlank="1" showErrorMessage="1" sqref="D4:D80">
      <formula1>"16h00,19h00,18h00,19h30,21h00,21h15,21h30"</formula1>
    </dataValidation>
    <dataValidation type="list" allowBlank="1" showErrorMessage="1" sqref="P114">
      <formula1>"Nome"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25"/>
    <col customWidth="1" min="13" max="13" width="13.0"/>
    <col customWidth="1" min="14" max="14" width="14.13"/>
  </cols>
  <sheetData>
    <row r="1" hidden="1">
      <c r="A1" s="1" t="s">
        <v>0</v>
      </c>
      <c r="B1" s="2" t="s">
        <v>1</v>
      </c>
    </row>
    <row r="2">
      <c r="A2" s="3"/>
      <c r="B2" s="4" t="s">
        <v>199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10</v>
      </c>
      <c r="J3" s="12"/>
      <c r="K3" s="12"/>
      <c r="L3" s="12"/>
      <c r="M3" s="12"/>
      <c r="N3" s="13"/>
    </row>
    <row r="4">
      <c r="A4" s="14"/>
      <c r="B4" s="191" t="s">
        <v>23</v>
      </c>
      <c r="C4" s="192">
        <v>1.0</v>
      </c>
      <c r="D4" s="17" t="s">
        <v>27</v>
      </c>
      <c r="E4" s="18"/>
      <c r="F4" s="193"/>
      <c r="G4" s="193"/>
      <c r="I4" s="194"/>
      <c r="J4" s="194"/>
      <c r="K4" s="194"/>
      <c r="L4" s="194"/>
      <c r="M4" s="194"/>
      <c r="N4" s="194"/>
    </row>
    <row r="5">
      <c r="A5" s="14"/>
      <c r="B5" s="25" t="s">
        <v>25</v>
      </c>
      <c r="C5" s="26">
        <v>2.0</v>
      </c>
      <c r="D5" s="17" t="s">
        <v>12</v>
      </c>
      <c r="E5" s="193"/>
      <c r="F5" s="193"/>
      <c r="G5" s="193"/>
      <c r="I5" s="195" t="s">
        <v>25</v>
      </c>
      <c r="J5" s="196"/>
      <c r="K5" s="197" t="s">
        <v>200</v>
      </c>
      <c r="L5" s="198"/>
      <c r="M5" s="199"/>
      <c r="N5" s="31"/>
    </row>
    <row r="6">
      <c r="A6" s="14"/>
      <c r="B6" s="23"/>
      <c r="C6" s="23"/>
      <c r="D6" s="17" t="s">
        <v>16</v>
      </c>
      <c r="E6" s="193"/>
      <c r="F6" s="193"/>
      <c r="G6" s="193"/>
      <c r="I6" s="200"/>
      <c r="L6" s="30"/>
      <c r="M6" s="201"/>
      <c r="N6" s="36"/>
    </row>
    <row r="7">
      <c r="A7" s="14"/>
      <c r="B7" s="25" t="s">
        <v>29</v>
      </c>
      <c r="C7" s="26">
        <v>3.0</v>
      </c>
      <c r="D7" s="17" t="s">
        <v>12</v>
      </c>
      <c r="E7" s="193"/>
      <c r="F7" s="193"/>
      <c r="G7" s="193"/>
      <c r="I7" s="52"/>
      <c r="J7" s="53"/>
      <c r="K7" s="54"/>
      <c r="L7" s="40"/>
      <c r="M7" s="41"/>
      <c r="N7" s="42"/>
    </row>
    <row r="8">
      <c r="A8" s="14"/>
      <c r="B8" s="23"/>
      <c r="C8" s="23"/>
      <c r="D8" s="17" t="s">
        <v>16</v>
      </c>
      <c r="E8" s="193"/>
      <c r="F8" s="193"/>
      <c r="G8" s="193"/>
      <c r="I8" s="49"/>
      <c r="J8" s="50"/>
      <c r="K8" s="40"/>
      <c r="L8" s="40"/>
      <c r="M8" s="51"/>
      <c r="N8" s="42"/>
    </row>
    <row r="9">
      <c r="A9" s="14"/>
      <c r="B9" s="25" t="s">
        <v>31</v>
      </c>
      <c r="C9" s="26">
        <v>4.0</v>
      </c>
      <c r="D9" s="17" t="s">
        <v>12</v>
      </c>
      <c r="E9" s="193"/>
      <c r="F9" s="193"/>
      <c r="G9" s="193"/>
      <c r="I9" s="202" t="s">
        <v>31</v>
      </c>
      <c r="J9" s="203"/>
      <c r="K9" s="204" t="s">
        <v>200</v>
      </c>
      <c r="L9" s="30"/>
      <c r="M9" s="205"/>
      <c r="N9" s="206"/>
    </row>
    <row r="10">
      <c r="A10" s="14"/>
      <c r="B10" s="23"/>
      <c r="C10" s="23"/>
      <c r="D10" s="17" t="s">
        <v>16</v>
      </c>
      <c r="E10" s="193"/>
      <c r="F10" s="193"/>
      <c r="G10" s="193"/>
      <c r="I10" s="207"/>
      <c r="J10" s="208"/>
      <c r="K10" s="45"/>
      <c r="L10" s="209"/>
      <c r="M10" s="210"/>
      <c r="N10" s="211"/>
    </row>
    <row r="11">
      <c r="A11" s="14"/>
      <c r="B11" s="191" t="s">
        <v>11</v>
      </c>
      <c r="C11" s="192">
        <v>5.0</v>
      </c>
      <c r="D11" s="17" t="s">
        <v>27</v>
      </c>
      <c r="E11" s="193"/>
      <c r="F11" s="193"/>
      <c r="G11" s="193"/>
      <c r="I11" s="49"/>
      <c r="J11" s="50"/>
      <c r="K11" s="40"/>
      <c r="L11" s="40"/>
      <c r="M11" s="41"/>
      <c r="N11" s="42"/>
    </row>
    <row r="12">
      <c r="A12" s="14"/>
      <c r="B12" s="191" t="s">
        <v>17</v>
      </c>
      <c r="C12" s="192">
        <v>6.0</v>
      </c>
      <c r="D12" s="17" t="s">
        <v>27</v>
      </c>
      <c r="E12" s="193"/>
      <c r="F12" s="193"/>
      <c r="G12" s="193"/>
      <c r="I12" s="49"/>
      <c r="J12" s="50"/>
      <c r="K12" s="40"/>
      <c r="L12" s="40"/>
      <c r="M12" s="51"/>
      <c r="N12" s="42"/>
    </row>
    <row r="13">
      <c r="A13" s="14"/>
      <c r="B13" s="191" t="s">
        <v>21</v>
      </c>
      <c r="C13" s="192">
        <v>7.0</v>
      </c>
      <c r="D13" s="17" t="s">
        <v>27</v>
      </c>
      <c r="E13" s="193"/>
      <c r="F13" s="193"/>
      <c r="G13" s="193"/>
      <c r="I13" s="52"/>
      <c r="J13" s="53"/>
      <c r="K13" s="54"/>
      <c r="L13" s="54"/>
      <c r="M13" s="212"/>
      <c r="N13" s="213"/>
    </row>
    <row r="14">
      <c r="A14" s="14"/>
      <c r="B14" s="191" t="s">
        <v>23</v>
      </c>
      <c r="C14" s="192">
        <v>8.0</v>
      </c>
      <c r="D14" s="17" t="s">
        <v>27</v>
      </c>
      <c r="E14" s="193"/>
      <c r="F14" s="193"/>
      <c r="G14" s="193"/>
      <c r="I14" s="49"/>
      <c r="J14" s="50"/>
      <c r="K14" s="40"/>
      <c r="L14" s="40"/>
      <c r="M14" s="51"/>
      <c r="N14" s="42"/>
    </row>
    <row r="15">
      <c r="A15" s="14"/>
      <c r="B15" s="25" t="s">
        <v>25</v>
      </c>
      <c r="C15" s="26">
        <v>9.0</v>
      </c>
      <c r="D15" s="17" t="s">
        <v>12</v>
      </c>
      <c r="E15" s="193"/>
      <c r="F15" s="193"/>
      <c r="G15" s="193"/>
      <c r="I15" s="27" t="s">
        <v>25</v>
      </c>
      <c r="J15" s="46"/>
      <c r="K15" s="44" t="s">
        <v>200</v>
      </c>
      <c r="L15" s="30"/>
      <c r="M15" s="30"/>
      <c r="N15" s="214"/>
    </row>
    <row r="16">
      <c r="A16" s="14"/>
      <c r="B16" s="23"/>
      <c r="C16" s="23"/>
      <c r="D16" s="17" t="s">
        <v>16</v>
      </c>
      <c r="E16" s="193"/>
      <c r="F16" s="193"/>
      <c r="G16" s="193"/>
      <c r="I16" s="32"/>
      <c r="J16" s="45"/>
      <c r="K16" s="45"/>
      <c r="L16" s="30"/>
      <c r="M16" s="35"/>
      <c r="N16" s="190"/>
    </row>
    <row r="17">
      <c r="A17" s="14"/>
      <c r="B17" s="25" t="s">
        <v>29</v>
      </c>
      <c r="C17" s="26">
        <v>10.0</v>
      </c>
      <c r="D17" s="17" t="s">
        <v>12</v>
      </c>
      <c r="E17" s="193"/>
      <c r="F17" s="193"/>
      <c r="G17" s="193"/>
      <c r="I17" s="215"/>
      <c r="J17" s="216"/>
      <c r="K17" s="217"/>
      <c r="L17" s="217"/>
      <c r="M17" s="51"/>
      <c r="N17" s="42"/>
    </row>
    <row r="18">
      <c r="A18" s="14"/>
      <c r="B18" s="23"/>
      <c r="C18" s="23"/>
      <c r="D18" s="17" t="s">
        <v>16</v>
      </c>
      <c r="E18" s="193"/>
      <c r="F18" s="193"/>
      <c r="G18" s="193"/>
      <c r="I18" s="215"/>
      <c r="J18" s="216"/>
      <c r="K18" s="217"/>
      <c r="L18" s="217"/>
      <c r="M18" s="51"/>
      <c r="N18" s="42"/>
    </row>
    <row r="19">
      <c r="A19" s="14"/>
      <c r="B19" s="25" t="s">
        <v>31</v>
      </c>
      <c r="C19" s="26">
        <v>11.0</v>
      </c>
      <c r="D19" s="17" t="s">
        <v>12</v>
      </c>
      <c r="E19" s="193"/>
      <c r="F19" s="193"/>
      <c r="G19" s="193"/>
      <c r="I19" s="218" t="s">
        <v>31</v>
      </c>
      <c r="J19" s="46"/>
      <c r="K19" s="44" t="s">
        <v>200</v>
      </c>
      <c r="L19" s="30"/>
      <c r="M19" s="199"/>
      <c r="N19" s="31"/>
    </row>
    <row r="20">
      <c r="A20" s="14"/>
      <c r="B20" s="23"/>
      <c r="C20" s="23"/>
      <c r="D20" s="17" t="s">
        <v>16</v>
      </c>
      <c r="E20" s="193"/>
      <c r="F20" s="193"/>
      <c r="G20" s="193"/>
      <c r="I20" s="207"/>
      <c r="J20" s="45"/>
      <c r="K20" s="45"/>
      <c r="L20" s="219"/>
      <c r="M20" s="201"/>
      <c r="N20" s="36"/>
    </row>
    <row r="21">
      <c r="A21" s="14"/>
      <c r="B21" s="191" t="s">
        <v>11</v>
      </c>
      <c r="C21" s="192">
        <v>12.0</v>
      </c>
      <c r="D21" s="17" t="s">
        <v>27</v>
      </c>
      <c r="E21" s="193"/>
      <c r="F21" s="193"/>
      <c r="G21" s="193"/>
      <c r="I21" s="49"/>
      <c r="J21" s="50"/>
      <c r="K21" s="40"/>
      <c r="L21" s="40"/>
      <c r="M21" s="41"/>
      <c r="N21" s="42"/>
    </row>
    <row r="22">
      <c r="A22" s="14"/>
      <c r="B22" s="191" t="s">
        <v>17</v>
      </c>
      <c r="C22" s="192">
        <v>13.0</v>
      </c>
      <c r="D22" s="17" t="s">
        <v>27</v>
      </c>
      <c r="E22" s="193"/>
      <c r="F22" s="193"/>
      <c r="G22" s="193"/>
      <c r="I22" s="49"/>
      <c r="J22" s="50"/>
      <c r="K22" s="40"/>
      <c r="L22" s="40"/>
      <c r="M22" s="51"/>
      <c r="N22" s="42"/>
    </row>
    <row r="23">
      <c r="A23" s="14"/>
      <c r="B23" s="191" t="s">
        <v>21</v>
      </c>
      <c r="C23" s="192">
        <v>14.0</v>
      </c>
      <c r="D23" s="17" t="s">
        <v>27</v>
      </c>
      <c r="E23" s="193"/>
      <c r="F23" s="193"/>
      <c r="G23" s="193"/>
      <c r="I23" s="49"/>
      <c r="J23" s="50"/>
      <c r="K23" s="40"/>
      <c r="L23" s="40"/>
      <c r="M23" s="51"/>
      <c r="N23" s="42"/>
    </row>
    <row r="24">
      <c r="A24" s="14"/>
      <c r="B24" s="191" t="s">
        <v>23</v>
      </c>
      <c r="C24" s="192">
        <v>15.0</v>
      </c>
      <c r="D24" s="17" t="s">
        <v>27</v>
      </c>
      <c r="E24" s="193"/>
      <c r="F24" s="193"/>
      <c r="G24" s="193"/>
      <c r="I24" s="49"/>
      <c r="J24" s="50"/>
      <c r="K24" s="40"/>
      <c r="L24" s="40"/>
      <c r="M24" s="51"/>
      <c r="N24" s="42"/>
    </row>
    <row r="25">
      <c r="A25" s="14"/>
      <c r="B25" s="25" t="s">
        <v>25</v>
      </c>
      <c r="C25" s="26">
        <v>16.0</v>
      </c>
      <c r="D25" s="17" t="s">
        <v>12</v>
      </c>
      <c r="E25" s="193"/>
      <c r="F25" s="193"/>
      <c r="G25" s="193"/>
      <c r="I25" s="27" t="s">
        <v>25</v>
      </c>
      <c r="J25" s="46"/>
      <c r="K25" s="44" t="s">
        <v>200</v>
      </c>
      <c r="L25" s="30"/>
      <c r="M25" s="199"/>
      <c r="N25" s="31"/>
    </row>
    <row r="26">
      <c r="A26" s="14"/>
      <c r="B26" s="23"/>
      <c r="C26" s="23"/>
      <c r="D26" s="17" t="s">
        <v>16</v>
      </c>
      <c r="E26" s="193"/>
      <c r="F26" s="193"/>
      <c r="G26" s="193"/>
      <c r="I26" s="32"/>
      <c r="J26" s="45"/>
      <c r="K26" s="45"/>
      <c r="L26" s="219"/>
      <c r="M26" s="201"/>
      <c r="N26" s="36"/>
    </row>
    <row r="27">
      <c r="A27" s="14"/>
      <c r="B27" s="25" t="s">
        <v>29</v>
      </c>
      <c r="C27" s="26">
        <v>17.0</v>
      </c>
      <c r="D27" s="17" t="s">
        <v>12</v>
      </c>
      <c r="E27" s="193"/>
      <c r="F27" s="193"/>
      <c r="G27" s="193"/>
      <c r="I27" s="20"/>
      <c r="J27" s="21"/>
      <c r="K27" s="189"/>
      <c r="L27" s="40"/>
      <c r="M27" s="41"/>
      <c r="N27" s="42"/>
    </row>
    <row r="28">
      <c r="A28" s="14"/>
      <c r="B28" s="23"/>
      <c r="C28" s="23"/>
      <c r="D28" s="17" t="s">
        <v>16</v>
      </c>
      <c r="E28" s="193"/>
      <c r="F28" s="193"/>
      <c r="G28" s="193"/>
      <c r="I28" s="20"/>
      <c r="J28" s="21"/>
      <c r="K28" s="189"/>
      <c r="L28" s="189"/>
      <c r="M28" s="189"/>
      <c r="N28" s="190"/>
    </row>
    <row r="29">
      <c r="A29" s="14"/>
      <c r="B29" s="25" t="s">
        <v>31</v>
      </c>
      <c r="C29" s="26">
        <v>18.0</v>
      </c>
      <c r="D29" s="17" t="s">
        <v>12</v>
      </c>
      <c r="E29" s="193"/>
      <c r="F29" s="193"/>
      <c r="G29" s="193"/>
      <c r="I29" s="27" t="s">
        <v>31</v>
      </c>
      <c r="J29" s="46"/>
      <c r="K29" s="44" t="s">
        <v>200</v>
      </c>
      <c r="L29" s="30"/>
      <c r="M29" s="199"/>
      <c r="N29" s="31"/>
    </row>
    <row r="30">
      <c r="A30" s="14"/>
      <c r="B30" s="23"/>
      <c r="C30" s="23"/>
      <c r="D30" s="17" t="s">
        <v>16</v>
      </c>
      <c r="E30" s="193"/>
      <c r="F30" s="193"/>
      <c r="G30" s="193"/>
      <c r="I30" s="32"/>
      <c r="J30" s="45"/>
      <c r="K30" s="45"/>
      <c r="L30" s="219"/>
      <c r="M30" s="201"/>
      <c r="N30" s="36"/>
    </row>
    <row r="31">
      <c r="A31" s="14"/>
      <c r="B31" s="191" t="s">
        <v>11</v>
      </c>
      <c r="C31" s="192">
        <v>19.0</v>
      </c>
      <c r="D31" s="17" t="s">
        <v>27</v>
      </c>
      <c r="E31" s="193"/>
      <c r="F31" s="193"/>
      <c r="G31" s="193"/>
      <c r="I31" s="20"/>
      <c r="J31" s="21"/>
      <c r="K31" s="189"/>
      <c r="L31" s="40"/>
      <c r="M31" s="41"/>
      <c r="N31" s="42"/>
    </row>
    <row r="32">
      <c r="A32" s="14"/>
      <c r="B32" s="191" t="s">
        <v>17</v>
      </c>
      <c r="C32" s="192">
        <v>20.0</v>
      </c>
      <c r="D32" s="17" t="s">
        <v>27</v>
      </c>
      <c r="E32" s="193"/>
      <c r="F32" s="193"/>
      <c r="G32" s="193"/>
      <c r="I32" s="20"/>
      <c r="J32" s="21"/>
      <c r="K32" s="189"/>
      <c r="L32" s="189"/>
      <c r="M32" s="189"/>
      <c r="N32" s="190"/>
    </row>
    <row r="33">
      <c r="A33" s="14"/>
      <c r="B33" s="191" t="s">
        <v>21</v>
      </c>
      <c r="C33" s="192">
        <v>21.0</v>
      </c>
      <c r="D33" s="17" t="s">
        <v>27</v>
      </c>
      <c r="E33" s="193"/>
      <c r="F33" s="193"/>
      <c r="G33" s="193"/>
      <c r="I33" s="20"/>
      <c r="J33" s="21"/>
      <c r="K33" s="189"/>
      <c r="L33" s="189"/>
      <c r="M33" s="189"/>
      <c r="N33" s="190"/>
    </row>
    <row r="34">
      <c r="A34" s="14"/>
      <c r="B34" s="191" t="s">
        <v>23</v>
      </c>
      <c r="C34" s="192">
        <v>22.0</v>
      </c>
      <c r="D34" s="17" t="s">
        <v>27</v>
      </c>
      <c r="E34" s="193"/>
      <c r="F34" s="193"/>
      <c r="G34" s="193"/>
      <c r="I34" s="20"/>
      <c r="J34" s="21"/>
      <c r="K34" s="189"/>
      <c r="L34" s="189"/>
      <c r="M34" s="189"/>
      <c r="N34" s="190"/>
    </row>
    <row r="35">
      <c r="A35" s="14"/>
      <c r="B35" s="25" t="s">
        <v>25</v>
      </c>
      <c r="C35" s="26">
        <v>23.0</v>
      </c>
      <c r="D35" s="17" t="s">
        <v>12</v>
      </c>
      <c r="E35" s="193"/>
      <c r="F35" s="193"/>
      <c r="G35" s="193"/>
      <c r="I35" s="27" t="s">
        <v>25</v>
      </c>
      <c r="J35" s="46"/>
      <c r="K35" s="44" t="s">
        <v>200</v>
      </c>
      <c r="L35" s="30"/>
      <c r="M35" s="199"/>
      <c r="N35" s="31"/>
    </row>
    <row r="36">
      <c r="A36" s="14"/>
      <c r="B36" s="23"/>
      <c r="C36" s="23"/>
      <c r="D36" s="17" t="s">
        <v>16</v>
      </c>
      <c r="E36" s="193"/>
      <c r="F36" s="193"/>
      <c r="G36" s="193"/>
      <c r="I36" s="32"/>
      <c r="J36" s="45"/>
      <c r="K36" s="45"/>
      <c r="L36" s="219"/>
      <c r="M36" s="201"/>
      <c r="N36" s="36"/>
    </row>
    <row r="37">
      <c r="A37" s="14"/>
      <c r="B37" s="25" t="s">
        <v>29</v>
      </c>
      <c r="C37" s="26">
        <v>24.0</v>
      </c>
      <c r="D37" s="17" t="s">
        <v>12</v>
      </c>
      <c r="E37" s="193"/>
      <c r="F37" s="193"/>
      <c r="G37" s="193"/>
      <c r="I37" s="20"/>
      <c r="J37" s="21"/>
      <c r="K37" s="189"/>
      <c r="L37" s="40"/>
      <c r="M37" s="41"/>
      <c r="N37" s="42"/>
    </row>
    <row r="38">
      <c r="A38" s="14"/>
      <c r="B38" s="23"/>
      <c r="C38" s="23"/>
      <c r="D38" s="17" t="s">
        <v>16</v>
      </c>
      <c r="E38" s="193"/>
      <c r="F38" s="193"/>
      <c r="G38" s="193"/>
      <c r="I38" s="20"/>
      <c r="J38" s="21"/>
      <c r="K38" s="189"/>
      <c r="L38" s="189"/>
      <c r="M38" s="189"/>
      <c r="N38" s="190"/>
    </row>
    <row r="39">
      <c r="A39" s="14"/>
      <c r="B39" s="25" t="s">
        <v>31</v>
      </c>
      <c r="C39" s="26">
        <v>25.0</v>
      </c>
      <c r="D39" s="17" t="s">
        <v>12</v>
      </c>
      <c r="E39" s="193"/>
      <c r="F39" s="193"/>
      <c r="G39" s="193"/>
      <c r="I39" s="27" t="s">
        <v>31</v>
      </c>
      <c r="J39" s="46"/>
      <c r="K39" s="44" t="s">
        <v>200</v>
      </c>
      <c r="L39" s="30"/>
      <c r="M39" s="199"/>
      <c r="N39" s="31"/>
    </row>
    <row r="40">
      <c r="A40" s="14"/>
      <c r="B40" s="23"/>
      <c r="C40" s="23"/>
      <c r="D40" s="17" t="s">
        <v>16</v>
      </c>
      <c r="E40" s="193"/>
      <c r="F40" s="193"/>
      <c r="G40" s="193"/>
      <c r="I40" s="32"/>
      <c r="J40" s="45"/>
      <c r="K40" s="45"/>
      <c r="L40" s="219"/>
      <c r="M40" s="201"/>
      <c r="N40" s="36"/>
    </row>
    <row r="41">
      <c r="A41" s="14"/>
      <c r="B41" s="191" t="s">
        <v>11</v>
      </c>
      <c r="C41" s="192">
        <v>26.0</v>
      </c>
      <c r="D41" s="17" t="s">
        <v>27</v>
      </c>
      <c r="E41" s="193"/>
      <c r="F41" s="193"/>
      <c r="G41" s="193"/>
      <c r="I41" s="20"/>
      <c r="J41" s="21"/>
      <c r="K41" s="189"/>
      <c r="L41" s="40"/>
      <c r="M41" s="41"/>
      <c r="N41" s="42"/>
    </row>
    <row r="42">
      <c r="A42" s="14"/>
      <c r="B42" s="191" t="s">
        <v>17</v>
      </c>
      <c r="C42" s="192">
        <v>27.0</v>
      </c>
      <c r="D42" s="17" t="s">
        <v>27</v>
      </c>
      <c r="E42" s="193"/>
      <c r="F42" s="193"/>
      <c r="G42" s="193"/>
      <c r="I42" s="20"/>
      <c r="J42" s="21"/>
      <c r="K42" s="189"/>
      <c r="L42" s="189"/>
      <c r="M42" s="189"/>
      <c r="N42" s="190"/>
    </row>
    <row r="43">
      <c r="A43" s="14"/>
      <c r="B43" s="191" t="s">
        <v>21</v>
      </c>
      <c r="C43" s="192">
        <v>28.0</v>
      </c>
      <c r="D43" s="17" t="s">
        <v>27</v>
      </c>
      <c r="E43" s="193"/>
      <c r="F43" s="193"/>
      <c r="G43" s="193"/>
      <c r="I43" s="49"/>
      <c r="J43" s="50"/>
      <c r="K43" s="40"/>
      <c r="L43" s="40"/>
      <c r="M43" s="51"/>
      <c r="N43" s="42"/>
    </row>
    <row r="44">
      <c r="A44" s="14"/>
      <c r="B44" s="191" t="s">
        <v>23</v>
      </c>
      <c r="C44" s="192">
        <v>29.0</v>
      </c>
      <c r="D44" s="17" t="s">
        <v>27</v>
      </c>
      <c r="E44" s="18"/>
      <c r="F44" s="18"/>
      <c r="G44" s="18"/>
      <c r="I44" s="49"/>
      <c r="J44" s="50"/>
      <c r="K44" s="40"/>
      <c r="L44" s="40"/>
      <c r="M44" s="51"/>
      <c r="N44" s="42"/>
    </row>
    <row r="45">
      <c r="A45" s="14"/>
      <c r="B45" s="25" t="s">
        <v>25</v>
      </c>
      <c r="C45" s="26">
        <v>30.0</v>
      </c>
      <c r="D45" s="17" t="s">
        <v>12</v>
      </c>
      <c r="E45" s="193"/>
      <c r="F45" s="193"/>
      <c r="G45" s="193"/>
      <c r="I45" s="27" t="s">
        <v>25</v>
      </c>
      <c r="J45" s="46"/>
      <c r="K45" s="44" t="s">
        <v>200</v>
      </c>
      <c r="L45" s="30"/>
      <c r="M45" s="199"/>
      <c r="N45" s="31"/>
    </row>
    <row r="46">
      <c r="A46" s="14"/>
      <c r="B46" s="23"/>
      <c r="C46" s="23"/>
      <c r="D46" s="17" t="s">
        <v>16</v>
      </c>
      <c r="E46" s="18"/>
      <c r="F46" s="193"/>
      <c r="G46" s="193"/>
      <c r="I46" s="32"/>
      <c r="J46" s="45"/>
      <c r="K46" s="45"/>
      <c r="L46" s="219"/>
      <c r="M46" s="201"/>
      <c r="N46" s="36"/>
    </row>
    <row r="47">
      <c r="A47" s="14"/>
      <c r="B47" s="25" t="s">
        <v>29</v>
      </c>
      <c r="C47" s="26">
        <v>31.0</v>
      </c>
      <c r="D47" s="17" t="s">
        <v>12</v>
      </c>
      <c r="E47" s="18"/>
      <c r="F47" s="193"/>
      <c r="G47" s="193"/>
      <c r="I47" s="20"/>
      <c r="J47" s="21"/>
      <c r="K47" s="21"/>
      <c r="L47" s="50"/>
      <c r="M47" s="220"/>
      <c r="N47" s="221"/>
    </row>
    <row r="48">
      <c r="A48" s="14"/>
      <c r="B48" s="23"/>
      <c r="C48" s="23"/>
      <c r="D48" s="17" t="s">
        <v>16</v>
      </c>
      <c r="E48" s="18"/>
      <c r="F48" s="193"/>
      <c r="G48" s="193"/>
      <c r="I48" s="20"/>
      <c r="J48" s="21"/>
      <c r="K48" s="21"/>
      <c r="L48" s="21"/>
      <c r="M48" s="21"/>
      <c r="N48" s="22"/>
    </row>
    <row r="49">
      <c r="E49" s="63">
        <f>COUNTIF(E4:E48, "Mira") + Countif(E4:E48, "Tuna")+ Countif(E4:E48, "Gustavo")+ Countif(E4:E48, "Pablo")+ Countif(E4:E48, "Tavares")+ Countif(E4:E48, "Sobral") + Countif(E4:E48, "Pipo")+ Countif(E4:E48, "Enfermagem")+ Countif(E4:E48, "Literatus")+ Countif(E4:E48, "Medicina")</f>
        <v>0</v>
      </c>
      <c r="F49" s="63">
        <f>Countif(F4:F48, "Gift") + Countif(F4:F48, "Monte") + Countif(F4:F48, "Sorte") + Countif(F4:F48, "Afonso") + Countif(F4:F48, "Geni") + Countif(F4:F48, "JP")</f>
        <v>0</v>
      </c>
      <c r="G49" s="63">
        <f>Countif(G4:G48, "Apostas") + Countif(G4:G48, "Prodígio") + Countif(G4:G48, "Tiago")</f>
        <v>0</v>
      </c>
      <c r="I49" s="60"/>
      <c r="J49" s="61"/>
      <c r="K49" s="61"/>
      <c r="L49" s="61"/>
      <c r="M49" s="61"/>
      <c r="N49" s="62"/>
    </row>
    <row r="50">
      <c r="L50" s="64">
        <f>COUNTIF(L4:L49, "Mira") + Countif(L4:L49, "Tuna")+ Countif(L4:L49, "Gustavo")+ Countif(L4:L49, "Pablo")+ Countif(L4:L49, "Tavares")+ Countif(L4:L49, "Sobral") + Countif(L4:L49, "Pipo")+ Countif(L4:L49, "Enfermagem")+ Countif(L4:L49, "Literatus")+ Countif(L4:L49, "Medicina")</f>
        <v>0</v>
      </c>
      <c r="M50" s="64">
        <f>Countif(M4:M46, "Gift") + Countif(M4:M46, "Monte") + Countif(M4:M46, "Sorte") + Countif(M4:M46, "Afonso") + Countif(M4:M46, "Geni") + Countif(M4:M46, "JP")</f>
        <v>0</v>
      </c>
      <c r="N50" s="64">
        <f>Countif(N4:N46, "Apostas") + Countif(N4:N46, "Prodígio") + Countif(N4:N46, "Poço")</f>
        <v>0</v>
      </c>
    </row>
    <row r="54" ht="22.5" customHeight="1">
      <c r="D54" s="65" t="s">
        <v>36</v>
      </c>
      <c r="E54" s="65" t="s">
        <v>37</v>
      </c>
      <c r="F54" s="65" t="s">
        <v>38</v>
      </c>
      <c r="G54" s="66" t="s">
        <v>39</v>
      </c>
      <c r="H54" s="67" t="s">
        <v>40</v>
      </c>
      <c r="K54" s="65" t="s">
        <v>36</v>
      </c>
      <c r="L54" s="65" t="s">
        <v>37</v>
      </c>
      <c r="M54" s="65" t="s">
        <v>38</v>
      </c>
      <c r="N54" s="66" t="s">
        <v>39</v>
      </c>
      <c r="O54" s="67" t="s">
        <v>40</v>
      </c>
      <c r="R54" s="68" t="s">
        <v>41</v>
      </c>
    </row>
    <row r="55" ht="22.5" customHeight="1">
      <c r="C55" s="69" t="s">
        <v>42</v>
      </c>
      <c r="D55" s="70" t="s">
        <v>22</v>
      </c>
      <c r="E55" s="71">
        <f>COUNTIF(E3:E48,"Tuna")</f>
        <v>0</v>
      </c>
      <c r="F55" s="72">
        <f t="shared" ref="F55:F71" si="2">((75/3)*E55)</f>
        <v>0</v>
      </c>
      <c r="G55" s="73">
        <f>E49</f>
        <v>0</v>
      </c>
      <c r="H55" s="74">
        <f>SUM(F55:F61)</f>
        <v>0</v>
      </c>
      <c r="J55" s="69" t="s">
        <v>42</v>
      </c>
      <c r="K55" s="70" t="s">
        <v>22</v>
      </c>
      <c r="L55" s="71">
        <f>COUNTIF(L1:L46,"Tuna")</f>
        <v>0</v>
      </c>
      <c r="M55" s="72">
        <f t="shared" ref="M55:M70" si="3">((75/3)*L55)</f>
        <v>0</v>
      </c>
      <c r="N55" s="73">
        <f t="shared" ref="N55:O55" si="1">SUM(L55:L61)</f>
        <v>0</v>
      </c>
      <c r="O55" s="74">
        <f t="shared" si="1"/>
        <v>0</v>
      </c>
      <c r="Q55" s="75" t="s">
        <v>22</v>
      </c>
      <c r="R55" s="76">
        <f t="shared" ref="R55:R71" si="4">SUM(F55,M55)</f>
        <v>0</v>
      </c>
    </row>
    <row r="56" ht="22.5" customHeight="1">
      <c r="C56" s="77"/>
      <c r="D56" s="78" t="s">
        <v>30</v>
      </c>
      <c r="E56" s="79">
        <f>COUNTIF(E3:E48,"Mira")</f>
        <v>0</v>
      </c>
      <c r="F56" s="80">
        <f t="shared" si="2"/>
        <v>0</v>
      </c>
      <c r="G56" s="81"/>
      <c r="H56" s="82"/>
      <c r="J56" s="77"/>
      <c r="K56" s="78" t="s">
        <v>30</v>
      </c>
      <c r="L56" s="79">
        <f>COUNTIF(L1:L46,"Mira")</f>
        <v>0</v>
      </c>
      <c r="M56" s="80">
        <f t="shared" si="3"/>
        <v>0</v>
      </c>
      <c r="N56" s="81"/>
      <c r="O56" s="82"/>
      <c r="Q56" s="83" t="s">
        <v>30</v>
      </c>
      <c r="R56" s="76">
        <f t="shared" si="4"/>
        <v>0</v>
      </c>
    </row>
    <row r="57" ht="22.5" customHeight="1">
      <c r="C57" s="77"/>
      <c r="D57" s="78" t="s">
        <v>13</v>
      </c>
      <c r="E57" s="79">
        <f>COUNTIF(E3:E48,"Pipo")</f>
        <v>0</v>
      </c>
      <c r="F57" s="80">
        <f t="shared" si="2"/>
        <v>0</v>
      </c>
      <c r="G57" s="81"/>
      <c r="H57" s="82"/>
      <c r="J57" s="77"/>
      <c r="K57" s="78" t="s">
        <v>13</v>
      </c>
      <c r="L57" s="79">
        <f>COUNTIF(L1:L46,"Pipo")</f>
        <v>0</v>
      </c>
      <c r="M57" s="84">
        <f t="shared" si="3"/>
        <v>0</v>
      </c>
      <c r="N57" s="81"/>
      <c r="O57" s="82"/>
      <c r="Q57" s="83" t="s">
        <v>13</v>
      </c>
      <c r="R57" s="76">
        <f t="shared" si="4"/>
        <v>0</v>
      </c>
    </row>
    <row r="58" ht="22.5" customHeight="1">
      <c r="C58" s="77"/>
      <c r="D58" s="78" t="s">
        <v>43</v>
      </c>
      <c r="E58" s="79">
        <f>COUNTIF(E3:E48,"Pablo")</f>
        <v>0</v>
      </c>
      <c r="F58" s="84">
        <f t="shared" si="2"/>
        <v>0</v>
      </c>
      <c r="G58" s="81"/>
      <c r="H58" s="82"/>
      <c r="J58" s="77"/>
      <c r="K58" s="78" t="s">
        <v>43</v>
      </c>
      <c r="L58" s="79">
        <f>COUNTIF(L1:L46,"Pablo")</f>
        <v>0</v>
      </c>
      <c r="M58" s="84">
        <f t="shared" si="3"/>
        <v>0</v>
      </c>
      <c r="N58" s="81"/>
      <c r="O58" s="82"/>
      <c r="Q58" s="83" t="s">
        <v>43</v>
      </c>
      <c r="R58" s="76">
        <f t="shared" si="4"/>
        <v>0</v>
      </c>
    </row>
    <row r="59" ht="22.5" customHeight="1">
      <c r="C59" s="77"/>
      <c r="D59" s="78" t="s">
        <v>44</v>
      </c>
      <c r="E59" s="79">
        <f>COUNTIF(E3:E48,"Tavares")</f>
        <v>0</v>
      </c>
      <c r="F59" s="84">
        <f t="shared" si="2"/>
        <v>0</v>
      </c>
      <c r="G59" s="81"/>
      <c r="H59" s="82"/>
      <c r="J59" s="77"/>
      <c r="K59" s="78" t="s">
        <v>44</v>
      </c>
      <c r="L59" s="79">
        <f>COUNTIF(L1:L46,"Tavares")</f>
        <v>0</v>
      </c>
      <c r="M59" s="84">
        <f t="shared" si="3"/>
        <v>0</v>
      </c>
      <c r="N59" s="81"/>
      <c r="O59" s="82"/>
      <c r="Q59" s="83" t="s">
        <v>44</v>
      </c>
      <c r="R59" s="76">
        <f t="shared" si="4"/>
        <v>0</v>
      </c>
    </row>
    <row r="60" ht="22.5" customHeight="1">
      <c r="C60" s="77"/>
      <c r="D60" s="78" t="s">
        <v>201</v>
      </c>
      <c r="E60" s="79">
        <f>COUNTIF(E3:E48,"Gustavo")</f>
        <v>0</v>
      </c>
      <c r="F60" s="84">
        <f t="shared" si="2"/>
        <v>0</v>
      </c>
      <c r="G60" s="81"/>
      <c r="H60" s="82"/>
      <c r="J60" s="77"/>
      <c r="K60" s="78" t="s">
        <v>201</v>
      </c>
      <c r="L60" s="79">
        <f>COUNTIF(L4:L51,"Gustavo")</f>
        <v>0</v>
      </c>
      <c r="M60" s="84">
        <f t="shared" si="3"/>
        <v>0</v>
      </c>
      <c r="N60" s="81"/>
      <c r="O60" s="82"/>
      <c r="Q60" s="83" t="s">
        <v>201</v>
      </c>
      <c r="R60" s="76">
        <f t="shared" si="4"/>
        <v>0</v>
      </c>
    </row>
    <row r="61" ht="22.5" customHeight="1">
      <c r="C61" s="91"/>
      <c r="D61" s="92" t="s">
        <v>46</v>
      </c>
      <c r="E61" s="93">
        <f>COUNTIF(E3:E48,"Tomás")</f>
        <v>0</v>
      </c>
      <c r="F61" s="94">
        <f t="shared" si="2"/>
        <v>0</v>
      </c>
      <c r="G61" s="95"/>
      <c r="H61" s="96"/>
      <c r="J61" s="91"/>
      <c r="K61" s="92" t="s">
        <v>46</v>
      </c>
      <c r="L61" s="93">
        <f>COUNTIF(L2:L48,"Tomás")</f>
        <v>0</v>
      </c>
      <c r="M61" s="94">
        <f t="shared" si="3"/>
        <v>0</v>
      </c>
      <c r="N61" s="95"/>
      <c r="O61" s="96"/>
      <c r="Q61" s="97" t="s">
        <v>46</v>
      </c>
      <c r="R61" s="98">
        <f t="shared" si="4"/>
        <v>0</v>
      </c>
    </row>
    <row r="62" ht="22.5" customHeight="1">
      <c r="C62" s="69" t="s">
        <v>47</v>
      </c>
      <c r="D62" s="99" t="s">
        <v>35</v>
      </c>
      <c r="E62" s="100">
        <f>Countif(F3:F48,"Gift")</f>
        <v>0</v>
      </c>
      <c r="F62" s="101">
        <f t="shared" si="2"/>
        <v>0</v>
      </c>
      <c r="G62" s="102">
        <f>F49</f>
        <v>0</v>
      </c>
      <c r="H62" s="103">
        <f>SUM(F62:F67)</f>
        <v>0</v>
      </c>
      <c r="J62" s="69" t="s">
        <v>47</v>
      </c>
      <c r="K62" s="99" t="s">
        <v>35</v>
      </c>
      <c r="L62" s="100">
        <f>Countif(M1:M46,"Gift")</f>
        <v>0</v>
      </c>
      <c r="M62" s="101">
        <f t="shared" si="3"/>
        <v>0</v>
      </c>
      <c r="N62" s="102">
        <f t="shared" ref="N62:O62" si="5">SUM(L62:L67)</f>
        <v>0</v>
      </c>
      <c r="O62" s="103">
        <f t="shared" si="5"/>
        <v>0</v>
      </c>
      <c r="Q62" s="104" t="s">
        <v>35</v>
      </c>
      <c r="R62" s="105">
        <f t="shared" si="4"/>
        <v>0</v>
      </c>
    </row>
    <row r="63" ht="22.5" customHeight="1">
      <c r="C63" s="77"/>
      <c r="D63" s="99" t="s">
        <v>34</v>
      </c>
      <c r="E63" s="100">
        <f>Countif(F3:F48,"Monte")</f>
        <v>0</v>
      </c>
      <c r="F63" s="101">
        <f t="shared" si="2"/>
        <v>0</v>
      </c>
      <c r="G63" s="106"/>
      <c r="H63" s="82"/>
      <c r="J63" s="77"/>
      <c r="K63" s="99" t="s">
        <v>34</v>
      </c>
      <c r="L63" s="100">
        <f>Countif(M1:M46,"Monte")</f>
        <v>0</v>
      </c>
      <c r="M63" s="101">
        <f t="shared" si="3"/>
        <v>0</v>
      </c>
      <c r="N63" s="106"/>
      <c r="O63" s="82"/>
      <c r="Q63" s="83" t="s">
        <v>34</v>
      </c>
      <c r="R63" s="76">
        <f t="shared" si="4"/>
        <v>0</v>
      </c>
    </row>
    <row r="64" ht="22.5" customHeight="1">
      <c r="C64" s="77"/>
      <c r="D64" s="99" t="s">
        <v>26</v>
      </c>
      <c r="E64" s="100">
        <f>Countif(F3:F48,"Sorte")</f>
        <v>0</v>
      </c>
      <c r="F64" s="101">
        <f t="shared" si="2"/>
        <v>0</v>
      </c>
      <c r="G64" s="106"/>
      <c r="H64" s="82"/>
      <c r="J64" s="77"/>
      <c r="K64" s="99" t="s">
        <v>26</v>
      </c>
      <c r="L64" s="100">
        <f>Countif(M1:M46,"Sorte")</f>
        <v>0</v>
      </c>
      <c r="M64" s="101">
        <f t="shared" si="3"/>
        <v>0</v>
      </c>
      <c r="N64" s="106"/>
      <c r="O64" s="82"/>
      <c r="Q64" s="83" t="s">
        <v>26</v>
      </c>
      <c r="R64" s="76">
        <f t="shared" si="4"/>
        <v>0</v>
      </c>
    </row>
    <row r="65" ht="22.5" customHeight="1">
      <c r="C65" s="77"/>
      <c r="D65" s="99" t="s">
        <v>14</v>
      </c>
      <c r="E65" s="100">
        <f>Countif(F3:F48,"Afonso")</f>
        <v>0</v>
      </c>
      <c r="F65" s="101">
        <f t="shared" si="2"/>
        <v>0</v>
      </c>
      <c r="G65" s="106"/>
      <c r="H65" s="82"/>
      <c r="J65" s="77"/>
      <c r="K65" s="99" t="s">
        <v>14</v>
      </c>
      <c r="L65" s="100">
        <f>Countif(M1:M46,"Afonso")</f>
        <v>0</v>
      </c>
      <c r="M65" s="101">
        <f t="shared" si="3"/>
        <v>0</v>
      </c>
      <c r="N65" s="106"/>
      <c r="O65" s="82"/>
      <c r="Q65" s="83" t="s">
        <v>14</v>
      </c>
      <c r="R65" s="76">
        <f t="shared" si="4"/>
        <v>0</v>
      </c>
    </row>
    <row r="66" ht="22.5" customHeight="1">
      <c r="C66" s="77"/>
      <c r="D66" s="99" t="s">
        <v>18</v>
      </c>
      <c r="E66" s="107">
        <f>Countif(F3:F48,"Geni")</f>
        <v>0</v>
      </c>
      <c r="F66" s="108">
        <f t="shared" si="2"/>
        <v>0</v>
      </c>
      <c r="G66" s="106"/>
      <c r="H66" s="82"/>
      <c r="J66" s="77"/>
      <c r="K66" s="99" t="s">
        <v>18</v>
      </c>
      <c r="L66" s="100">
        <f>Countif(M1:M46,"Geni")</f>
        <v>0</v>
      </c>
      <c r="M66" s="101">
        <f t="shared" si="3"/>
        <v>0</v>
      </c>
      <c r="N66" s="106"/>
      <c r="O66" s="82"/>
      <c r="Q66" s="83" t="s">
        <v>18</v>
      </c>
      <c r="R66" s="76">
        <f t="shared" si="4"/>
        <v>0</v>
      </c>
    </row>
    <row r="67" ht="22.5" customHeight="1">
      <c r="C67" s="91"/>
      <c r="D67" s="92" t="s">
        <v>48</v>
      </c>
      <c r="E67" s="86">
        <f>Countif(F3:F48,"JP")</f>
        <v>0</v>
      </c>
      <c r="F67" s="87">
        <f t="shared" si="2"/>
        <v>0</v>
      </c>
      <c r="G67" s="106"/>
      <c r="H67" s="82"/>
      <c r="J67" s="91"/>
      <c r="K67" s="92" t="s">
        <v>48</v>
      </c>
      <c r="L67" s="93">
        <f>Countif(M1:M46,"JP")</f>
        <v>0</v>
      </c>
      <c r="M67" s="94">
        <f t="shared" si="3"/>
        <v>0</v>
      </c>
      <c r="N67" s="106"/>
      <c r="O67" s="82"/>
      <c r="Q67" s="97" t="s">
        <v>48</v>
      </c>
      <c r="R67" s="98">
        <f t="shared" si="4"/>
        <v>0</v>
      </c>
    </row>
    <row r="68" ht="22.5" customHeight="1">
      <c r="C68" s="69" t="s">
        <v>49</v>
      </c>
      <c r="D68" s="114" t="s">
        <v>19</v>
      </c>
      <c r="E68" s="115">
        <f>Countif(G3:G48,"Apostas")</f>
        <v>0</v>
      </c>
      <c r="F68" s="112">
        <f t="shared" si="2"/>
        <v>0</v>
      </c>
      <c r="G68" s="73">
        <f>G49</f>
        <v>0</v>
      </c>
      <c r="H68" s="74">
        <f>SUM(F68:F70)</f>
        <v>0</v>
      </c>
      <c r="J68" s="69" t="s">
        <v>49</v>
      </c>
      <c r="K68" s="114" t="s">
        <v>19</v>
      </c>
      <c r="L68" s="115">
        <f>Countif(N1:N46,"Apostas")</f>
        <v>0</v>
      </c>
      <c r="M68" s="112">
        <f t="shared" si="3"/>
        <v>0</v>
      </c>
      <c r="N68" s="73">
        <f t="shared" ref="N68:O68" si="6">SUM(L68:L70)</f>
        <v>0</v>
      </c>
      <c r="O68" s="74">
        <f t="shared" si="6"/>
        <v>0</v>
      </c>
      <c r="Q68" s="104" t="s">
        <v>19</v>
      </c>
      <c r="R68" s="105">
        <f t="shared" si="4"/>
        <v>0</v>
      </c>
    </row>
    <row r="69" ht="22.5" customHeight="1">
      <c r="C69" s="77"/>
      <c r="D69" s="120" t="s">
        <v>15</v>
      </c>
      <c r="E69" s="121">
        <f>Countif(G3:G48,"Prodígio")</f>
        <v>0</v>
      </c>
      <c r="F69" s="119">
        <f t="shared" si="2"/>
        <v>0</v>
      </c>
      <c r="G69" s="81"/>
      <c r="H69" s="82"/>
      <c r="J69" s="77"/>
      <c r="K69" s="120" t="s">
        <v>15</v>
      </c>
      <c r="L69" s="121">
        <f>Countif(N1:N46,"Prodígio")</f>
        <v>0</v>
      </c>
      <c r="M69" s="119">
        <f t="shared" si="3"/>
        <v>0</v>
      </c>
      <c r="N69" s="81"/>
      <c r="O69" s="82"/>
      <c r="Q69" s="83" t="s">
        <v>15</v>
      </c>
      <c r="R69" s="76">
        <f t="shared" si="4"/>
        <v>0</v>
      </c>
    </row>
    <row r="70" ht="22.5" customHeight="1">
      <c r="C70" s="77"/>
      <c r="D70" s="120" t="s">
        <v>50</v>
      </c>
      <c r="E70" s="121">
        <f>Countif(G1:G48,"Poço")</f>
        <v>0</v>
      </c>
      <c r="F70" s="119">
        <f t="shared" si="2"/>
        <v>0</v>
      </c>
      <c r="G70" s="81"/>
      <c r="H70" s="82"/>
      <c r="J70" s="77"/>
      <c r="K70" s="120" t="s">
        <v>50</v>
      </c>
      <c r="L70" s="121">
        <f>Countif(N1:N46,"Poço")</f>
        <v>0</v>
      </c>
      <c r="M70" s="119">
        <f t="shared" si="3"/>
        <v>0</v>
      </c>
      <c r="N70" s="81"/>
      <c r="O70" s="82"/>
      <c r="Q70" s="83" t="s">
        <v>50</v>
      </c>
      <c r="R70" s="76">
        <f t="shared" si="4"/>
        <v>0</v>
      </c>
    </row>
    <row r="71" ht="22.5" customHeight="1">
      <c r="C71" s="91"/>
      <c r="D71" s="222" t="s">
        <v>24</v>
      </c>
      <c r="E71" s="128">
        <f>Countif(G2:G49,"Pedro")</f>
        <v>0</v>
      </c>
      <c r="F71" s="129">
        <f t="shared" si="2"/>
        <v>0</v>
      </c>
      <c r="G71" s="130"/>
      <c r="H71" s="127"/>
      <c r="J71" s="91"/>
      <c r="K71" s="222" t="s">
        <v>24</v>
      </c>
      <c r="L71" s="128">
        <f>Countif(N2:N46,"Pedro")</f>
        <v>0</v>
      </c>
      <c r="M71" s="129">
        <f>((60/3)*L71)</f>
        <v>0</v>
      </c>
      <c r="N71" s="130"/>
      <c r="O71" s="127"/>
      <c r="Q71" s="131" t="s">
        <v>48</v>
      </c>
      <c r="R71" s="76">
        <f t="shared" si="4"/>
        <v>0</v>
      </c>
    </row>
    <row r="72">
      <c r="H72" s="132">
        <f>SUM(H55:H70)</f>
        <v>0</v>
      </c>
      <c r="O72" s="132">
        <f>SUM(O55:O70)</f>
        <v>0</v>
      </c>
      <c r="Q72" s="133"/>
      <c r="R72" s="134">
        <f>SUM(H72+O72)</f>
        <v>0</v>
      </c>
    </row>
    <row r="73">
      <c r="H73" s="135"/>
      <c r="O73" s="135"/>
      <c r="Q73" s="133"/>
      <c r="R73" s="135"/>
    </row>
    <row r="76" ht="22.5" customHeight="1">
      <c r="D76" s="136" t="s">
        <v>36</v>
      </c>
      <c r="E76" s="136" t="s">
        <v>37</v>
      </c>
      <c r="F76" s="136" t="s">
        <v>38</v>
      </c>
      <c r="G76" s="137" t="s">
        <v>40</v>
      </c>
      <c r="J76" s="138" t="s">
        <v>6</v>
      </c>
      <c r="K76" s="100" t="s">
        <v>51</v>
      </c>
      <c r="Q76" s="139" t="s">
        <v>52</v>
      </c>
    </row>
    <row r="77" ht="22.5" customHeight="1">
      <c r="C77" s="140" t="s">
        <v>53</v>
      </c>
      <c r="D77" s="141" t="s">
        <v>54</v>
      </c>
      <c r="E77" s="142">
        <f>COUNTIF(E23:E48,"Medicina")</f>
        <v>0</v>
      </c>
      <c r="F77" s="143">
        <f t="shared" ref="F77:F79" si="7">((60/3)*E77)</f>
        <v>0</v>
      </c>
      <c r="G77" s="144">
        <f>SUM(F77:F79)</f>
        <v>0</v>
      </c>
      <c r="J77" s="145" t="s">
        <v>55</v>
      </c>
      <c r="K77" s="146">
        <v>20.0</v>
      </c>
      <c r="P77" s="147"/>
      <c r="Q77" s="223" t="s">
        <v>56</v>
      </c>
      <c r="R77" s="224"/>
    </row>
    <row r="78" ht="22.5" customHeight="1">
      <c r="C78" s="116"/>
      <c r="D78" s="150" t="s">
        <v>57</v>
      </c>
      <c r="E78" s="88">
        <f>COUNTIF(E23:E48,"Literatus")</f>
        <v>0</v>
      </c>
      <c r="F78" s="151">
        <f t="shared" si="7"/>
        <v>0</v>
      </c>
      <c r="G78" s="152"/>
      <c r="J78" s="153" t="s">
        <v>58</v>
      </c>
      <c r="K78" s="154">
        <v>20.0</v>
      </c>
      <c r="P78" s="155"/>
      <c r="Q78" s="225" t="s">
        <v>59</v>
      </c>
      <c r="R78" s="226"/>
    </row>
    <row r="79" ht="22.5" customHeight="1">
      <c r="C79" s="124"/>
      <c r="D79" s="158" t="s">
        <v>60</v>
      </c>
      <c r="E79" s="159">
        <f>COUNTIF(E23:E48,"Enfermagem")</f>
        <v>0</v>
      </c>
      <c r="F79" s="160">
        <f t="shared" si="7"/>
        <v>0</v>
      </c>
      <c r="G79" s="161"/>
      <c r="J79" s="153" t="s">
        <v>61</v>
      </c>
      <c r="K79" s="154">
        <v>20.0</v>
      </c>
      <c r="P79" s="162"/>
      <c r="Q79" s="225" t="s">
        <v>62</v>
      </c>
      <c r="R79" s="226"/>
    </row>
    <row r="80" ht="22.5" customHeight="1">
      <c r="G80" s="163">
        <f>SUM(G77:G79)</f>
        <v>0</v>
      </c>
      <c r="J80" s="164" t="s">
        <v>63</v>
      </c>
      <c r="K80" s="165">
        <v>20.0</v>
      </c>
      <c r="P80" s="166"/>
      <c r="Q80" s="223" t="s">
        <v>64</v>
      </c>
      <c r="R80" s="224"/>
    </row>
    <row r="81">
      <c r="G81" s="161"/>
      <c r="P81" s="167" t="s">
        <v>65</v>
      </c>
      <c r="Q81" s="225" t="s">
        <v>66</v>
      </c>
      <c r="R81" s="226"/>
    </row>
    <row r="82">
      <c r="P82" s="168" t="s">
        <v>65</v>
      </c>
      <c r="Q82" s="225" t="s">
        <v>202</v>
      </c>
      <c r="R82" s="226"/>
    </row>
    <row r="83">
      <c r="P83" s="169" t="s">
        <v>28</v>
      </c>
      <c r="Q83" s="225" t="s">
        <v>203</v>
      </c>
      <c r="R83" s="226"/>
    </row>
    <row r="84">
      <c r="P84" s="170"/>
      <c r="Q84" s="225" t="s">
        <v>69</v>
      </c>
      <c r="R84" s="226"/>
    </row>
    <row r="85">
      <c r="P85" s="171" t="s">
        <v>65</v>
      </c>
      <c r="Q85" s="225" t="s">
        <v>68</v>
      </c>
      <c r="R85" s="226"/>
    </row>
    <row r="86">
      <c r="P86" s="172">
        <v>46.0</v>
      </c>
      <c r="Q86" s="225" t="s">
        <v>71</v>
      </c>
      <c r="R86" s="226"/>
    </row>
  </sheetData>
  <mergeCells count="84">
    <mergeCell ref="B1:C1"/>
    <mergeCell ref="B2:G2"/>
    <mergeCell ref="J2:K2"/>
    <mergeCell ref="I3:N3"/>
    <mergeCell ref="B5:B6"/>
    <mergeCell ref="C5:C6"/>
    <mergeCell ref="I5:I6"/>
    <mergeCell ref="B7:B8"/>
    <mergeCell ref="C7:C8"/>
    <mergeCell ref="B9:B10"/>
    <mergeCell ref="C9:C10"/>
    <mergeCell ref="B15:B16"/>
    <mergeCell ref="C15:C16"/>
    <mergeCell ref="C17:C18"/>
    <mergeCell ref="C19:C20"/>
    <mergeCell ref="J5:J6"/>
    <mergeCell ref="K5:K6"/>
    <mergeCell ref="I9:I10"/>
    <mergeCell ref="J9:J10"/>
    <mergeCell ref="K9:K10"/>
    <mergeCell ref="J15:J16"/>
    <mergeCell ref="K15:K16"/>
    <mergeCell ref="I15:I16"/>
    <mergeCell ref="I19:I20"/>
    <mergeCell ref="J19:J20"/>
    <mergeCell ref="K19:K20"/>
    <mergeCell ref="I25:I26"/>
    <mergeCell ref="J25:J26"/>
    <mergeCell ref="K25:K26"/>
    <mergeCell ref="J39:J40"/>
    <mergeCell ref="K39:K40"/>
    <mergeCell ref="I29:I30"/>
    <mergeCell ref="J29:J30"/>
    <mergeCell ref="K29:K30"/>
    <mergeCell ref="I35:I36"/>
    <mergeCell ref="J35:J36"/>
    <mergeCell ref="K35:K36"/>
    <mergeCell ref="I39:I40"/>
    <mergeCell ref="B45:B46"/>
    <mergeCell ref="C45:C46"/>
    <mergeCell ref="I45:I46"/>
    <mergeCell ref="J45:J46"/>
    <mergeCell ref="K45:K46"/>
    <mergeCell ref="J62:J67"/>
    <mergeCell ref="J68:J71"/>
    <mergeCell ref="G55:G61"/>
    <mergeCell ref="G62:G67"/>
    <mergeCell ref="H62:H67"/>
    <mergeCell ref="N62:N67"/>
    <mergeCell ref="G68:G71"/>
    <mergeCell ref="H68:H71"/>
    <mergeCell ref="H72:H73"/>
    <mergeCell ref="B17:B18"/>
    <mergeCell ref="B19:B20"/>
    <mergeCell ref="B25:B26"/>
    <mergeCell ref="C25:C26"/>
    <mergeCell ref="B27:B28"/>
    <mergeCell ref="C27:C28"/>
    <mergeCell ref="C29:C30"/>
    <mergeCell ref="B47:B48"/>
    <mergeCell ref="C47:C48"/>
    <mergeCell ref="C55:C61"/>
    <mergeCell ref="H55:H61"/>
    <mergeCell ref="J55:J61"/>
    <mergeCell ref="N55:N61"/>
    <mergeCell ref="O55:O61"/>
    <mergeCell ref="C62:C67"/>
    <mergeCell ref="C68:C71"/>
    <mergeCell ref="C77:C79"/>
    <mergeCell ref="B29:B30"/>
    <mergeCell ref="B35:B36"/>
    <mergeCell ref="C35:C36"/>
    <mergeCell ref="B37:B38"/>
    <mergeCell ref="C37:C38"/>
    <mergeCell ref="B39:B40"/>
    <mergeCell ref="C39:C40"/>
    <mergeCell ref="N68:N71"/>
    <mergeCell ref="O68:O71"/>
    <mergeCell ref="R72:R73"/>
    <mergeCell ref="Q76:R76"/>
    <mergeCell ref="O62:O67"/>
    <mergeCell ref="O72:O73"/>
    <mergeCell ref="G77:G79"/>
    <mergeCell ref="G80:G81"/>
  </mergeCells>
  <conditionalFormatting sqref="C76">
    <cfRule type="notContainsBlanks" dxfId="7" priority="1">
      <formula>LEN(TRIM(C76))&gt;0</formula>
    </cfRule>
  </conditionalFormatting>
  <dataValidations>
    <dataValidation type="list" allowBlank="1" showErrorMessage="1" sqref="N15">
      <formula1>"Apostas,Prodígio,Poço,Pedro,-"</formula1>
    </dataValidation>
    <dataValidation type="list" allowBlank="1" showErrorMessage="1" sqref="N5 N9 N19 N25 N29 N35 N39 N45 G4:G48">
      <formula1>"Apostas,Prodígio,Poço,-"</formula1>
    </dataValidation>
    <dataValidation type="list" allowBlank="1" showErrorMessage="1" sqref="P81">
      <formula1>"Nome"</formula1>
    </dataValidation>
    <dataValidation type="list" allowBlank="1" showErrorMessage="1" sqref="P83">
      <formula1>"-"</formula1>
    </dataValidation>
    <dataValidation type="list" allowBlank="1" showErrorMessage="1" sqref="E4:E48">
      <formula1>"Tuna,Pipo,Mira,Pablo,Gustavo,Tavares,Sobral,Medicina,Literatus,Enfermagem,-"</formula1>
    </dataValidation>
    <dataValidation type="list" allowBlank="1" showErrorMessage="1" sqref="P82">
      <formula1>"Nome"</formula1>
    </dataValidation>
    <dataValidation type="list" allowBlank="1" showErrorMessage="1" sqref="D4:D48">
      <formula1>"19h00,18h00,19h30,21h00,21h30,16h00"</formula1>
    </dataValidation>
    <dataValidation type="list" allowBlank="1" showErrorMessage="1" sqref="F4:F48">
      <formula1>"Gift,Monte,Sorte,Afonso,Geni,JP,-"</formula1>
    </dataValidation>
    <dataValidation type="list" allowBlank="1" showErrorMessage="1" sqref="L5:L6 L9:L10 L15:L16 L19:L20 L25:L26 L29:L30 L35:L36 L39:L40 L45:L46">
      <formula1>"Tuna,Gustavo,Mira,Pablo,Tavares,Pipo,Sobral,Medicina,Literatus,Enfermagem,-"</formula1>
    </dataValidation>
    <dataValidation type="list" allowBlank="1" showErrorMessage="1" sqref="P84">
      <formula1>" -"</formula1>
    </dataValidation>
    <dataValidation type="list" allowBlank="1" showErrorMessage="1" sqref="M5 M9 M15 M19 M25 M29 M35 M39 M45">
      <formula1>"Gift,Monte,Sorte,Afonso,Geni,JP,-"</formula1>
    </dataValidation>
    <dataValidation type="custom" allowBlank="1" showDropDown="1" sqref="M55:M71 F55:F71 F77:F79 K77:K80">
      <formula1>AND(ISNUMBER(F55),(NOT(OR(NOT(ISERROR(DATEVALUE(F55))), AND(ISNUMBER(F55), LEFT(CELL("format", F55))="D")))))</formula1>
    </dataValidation>
    <dataValidation type="list" allowBlank="1" showErrorMessage="1" sqref="K5 K9 K15 K19 K25 K29 K35 K39 K45">
      <formula1>"17h00"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8" width="13.63"/>
    <col customWidth="1" min="13" max="13" width="13.25"/>
    <col customWidth="1" min="14" max="14" width="13.0"/>
    <col customWidth="1" min="15" max="15" width="14.13"/>
  </cols>
  <sheetData>
    <row r="1">
      <c r="A1" s="1"/>
      <c r="B1" s="2" t="s">
        <v>1</v>
      </c>
    </row>
    <row r="2">
      <c r="A2" s="3"/>
      <c r="B2" s="4" t="s">
        <v>204</v>
      </c>
      <c r="H2" s="227"/>
      <c r="J2" s="5" t="s">
        <v>3</v>
      </c>
      <c r="K2" s="6">
        <f>TODAY()</f>
        <v>46182</v>
      </c>
      <c r="L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H3" s="228" t="s">
        <v>205</v>
      </c>
      <c r="J3" s="11" t="s">
        <v>10</v>
      </c>
      <c r="K3" s="12"/>
      <c r="L3" s="12"/>
      <c r="M3" s="12"/>
      <c r="N3" s="12"/>
      <c r="O3" s="13"/>
    </row>
    <row r="4">
      <c r="A4" s="14"/>
      <c r="B4" s="25" t="s">
        <v>25</v>
      </c>
      <c r="C4" s="26">
        <v>1.0</v>
      </c>
      <c r="D4" s="17" t="s">
        <v>12</v>
      </c>
      <c r="E4" s="18" t="s">
        <v>13</v>
      </c>
      <c r="F4" s="18" t="s">
        <v>34</v>
      </c>
      <c r="G4" s="229" t="s">
        <v>19</v>
      </c>
      <c r="H4" s="230" t="s">
        <v>28</v>
      </c>
      <c r="J4" s="27" t="s">
        <v>25</v>
      </c>
      <c r="K4" s="28">
        <v>1.0</v>
      </c>
      <c r="L4" s="29" t="s">
        <v>27</v>
      </c>
      <c r="M4" s="30" t="s">
        <v>30</v>
      </c>
      <c r="N4" s="30" t="s">
        <v>26</v>
      </c>
      <c r="O4" s="31" t="s">
        <v>15</v>
      </c>
    </row>
    <row r="5">
      <c r="A5" s="14"/>
      <c r="B5" s="24"/>
      <c r="C5" s="24"/>
      <c r="D5" s="17" t="s">
        <v>16</v>
      </c>
      <c r="E5" s="18" t="s">
        <v>13</v>
      </c>
      <c r="F5" s="18" t="s">
        <v>34</v>
      </c>
      <c r="G5" s="229" t="s">
        <v>19</v>
      </c>
      <c r="H5" s="230" t="s">
        <v>28</v>
      </c>
      <c r="J5" s="32"/>
      <c r="K5" s="33"/>
      <c r="L5" s="34"/>
      <c r="M5" s="30"/>
      <c r="N5" s="35"/>
      <c r="O5" s="36"/>
    </row>
    <row r="6">
      <c r="A6" s="14"/>
      <c r="B6" s="23"/>
      <c r="C6" s="23"/>
      <c r="D6" s="17" t="s">
        <v>20</v>
      </c>
      <c r="E6" s="19" t="s">
        <v>13</v>
      </c>
      <c r="F6" s="18" t="s">
        <v>34</v>
      </c>
      <c r="G6" s="229" t="s">
        <v>19</v>
      </c>
      <c r="H6" s="230" t="s">
        <v>28</v>
      </c>
      <c r="J6" s="37"/>
      <c r="K6" s="38"/>
      <c r="L6" s="39"/>
      <c r="M6" s="40"/>
      <c r="N6" s="41"/>
      <c r="O6" s="42"/>
    </row>
    <row r="7">
      <c r="A7" s="14"/>
      <c r="B7" s="25" t="s">
        <v>29</v>
      </c>
      <c r="C7" s="26">
        <v>2.0</v>
      </c>
      <c r="D7" s="17" t="s">
        <v>12</v>
      </c>
      <c r="E7" s="19" t="s">
        <v>13</v>
      </c>
      <c r="F7" s="18" t="s">
        <v>35</v>
      </c>
      <c r="G7" s="231" t="s">
        <v>15</v>
      </c>
      <c r="H7" s="230"/>
      <c r="J7" s="27" t="s">
        <v>29</v>
      </c>
      <c r="K7" s="43">
        <v>2.0</v>
      </c>
      <c r="L7" s="44" t="s">
        <v>27</v>
      </c>
      <c r="M7" s="30" t="s">
        <v>22</v>
      </c>
      <c r="N7" s="30" t="s">
        <v>34</v>
      </c>
      <c r="O7" s="31" t="s">
        <v>19</v>
      </c>
    </row>
    <row r="8">
      <c r="A8" s="14"/>
      <c r="B8" s="24"/>
      <c r="C8" s="24"/>
      <c r="D8" s="17" t="s">
        <v>16</v>
      </c>
      <c r="E8" s="19" t="s">
        <v>13</v>
      </c>
      <c r="F8" s="18" t="s">
        <v>35</v>
      </c>
      <c r="G8" s="231" t="s">
        <v>15</v>
      </c>
      <c r="H8" s="230"/>
      <c r="J8" s="32"/>
      <c r="K8" s="34"/>
      <c r="L8" s="45"/>
      <c r="M8" s="30" t="s">
        <v>206</v>
      </c>
      <c r="N8" s="35"/>
      <c r="O8" s="36"/>
    </row>
    <row r="9">
      <c r="A9" s="14"/>
      <c r="B9" s="23"/>
      <c r="C9" s="23"/>
      <c r="D9" s="17" t="s">
        <v>20</v>
      </c>
      <c r="E9" s="19" t="s">
        <v>13</v>
      </c>
      <c r="F9" s="18" t="s">
        <v>35</v>
      </c>
      <c r="G9" s="231" t="s">
        <v>15</v>
      </c>
      <c r="H9" s="230"/>
      <c r="J9" s="20"/>
      <c r="K9" s="21"/>
      <c r="L9" s="21"/>
      <c r="M9" s="21"/>
      <c r="N9" s="21"/>
      <c r="O9" s="22"/>
    </row>
    <row r="10">
      <c r="A10" s="14"/>
      <c r="B10" s="25" t="s">
        <v>31</v>
      </c>
      <c r="C10" s="26">
        <v>3.0</v>
      </c>
      <c r="D10" s="17" t="s">
        <v>12</v>
      </c>
      <c r="E10" s="19" t="s">
        <v>30</v>
      </c>
      <c r="F10" s="18" t="s">
        <v>18</v>
      </c>
      <c r="G10" s="229" t="s">
        <v>15</v>
      </c>
      <c r="H10" s="230"/>
      <c r="J10" s="27" t="s">
        <v>31</v>
      </c>
      <c r="K10" s="46">
        <v>3.0</v>
      </c>
      <c r="L10" s="44" t="s">
        <v>27</v>
      </c>
      <c r="M10" s="30" t="s">
        <v>30</v>
      </c>
      <c r="N10" s="30" t="s">
        <v>34</v>
      </c>
      <c r="O10" s="31" t="s">
        <v>19</v>
      </c>
    </row>
    <row r="11">
      <c r="A11" s="14"/>
      <c r="B11" s="24"/>
      <c r="C11" s="24"/>
      <c r="D11" s="17" t="s">
        <v>16</v>
      </c>
      <c r="E11" s="19" t="s">
        <v>207</v>
      </c>
      <c r="F11" s="18" t="s">
        <v>18</v>
      </c>
      <c r="G11" s="229" t="s">
        <v>15</v>
      </c>
      <c r="H11" s="230"/>
      <c r="J11" s="32"/>
      <c r="K11" s="45"/>
      <c r="L11" s="45"/>
      <c r="M11" s="30" t="s">
        <v>45</v>
      </c>
      <c r="N11" s="35"/>
      <c r="O11" s="36"/>
    </row>
    <row r="12">
      <c r="A12" s="14"/>
      <c r="B12" s="23"/>
      <c r="C12" s="23"/>
      <c r="D12" s="17" t="s">
        <v>20</v>
      </c>
      <c r="E12" s="19" t="s">
        <v>30</v>
      </c>
      <c r="F12" s="18" t="s">
        <v>18</v>
      </c>
      <c r="G12" s="229" t="s">
        <v>15</v>
      </c>
      <c r="H12" s="230"/>
      <c r="J12" s="20"/>
      <c r="K12" s="21"/>
      <c r="L12" s="21"/>
      <c r="M12" s="21"/>
      <c r="N12" s="21"/>
      <c r="O12" s="22"/>
    </row>
    <row r="13">
      <c r="A13" s="14"/>
      <c r="B13" s="15" t="s">
        <v>11</v>
      </c>
      <c r="C13" s="16">
        <v>4.0</v>
      </c>
      <c r="D13" s="17" t="s">
        <v>12</v>
      </c>
      <c r="E13" s="18" t="s">
        <v>22</v>
      </c>
      <c r="F13" s="18" t="s">
        <v>26</v>
      </c>
      <c r="G13" s="229" t="s">
        <v>19</v>
      </c>
      <c r="H13" s="230"/>
      <c r="J13" s="20"/>
      <c r="K13" s="21"/>
      <c r="L13" s="21"/>
      <c r="M13" s="21"/>
      <c r="N13" s="21"/>
      <c r="O13" s="22"/>
    </row>
    <row r="14">
      <c r="A14" s="14"/>
      <c r="B14" s="23"/>
      <c r="C14" s="23"/>
      <c r="D14" s="17" t="s">
        <v>16</v>
      </c>
      <c r="E14" s="18" t="s">
        <v>22</v>
      </c>
      <c r="F14" s="18" t="s">
        <v>26</v>
      </c>
      <c r="G14" s="229" t="s">
        <v>19</v>
      </c>
      <c r="H14" s="230" t="s">
        <v>28</v>
      </c>
      <c r="J14" s="20"/>
      <c r="K14" s="21"/>
      <c r="L14" s="21"/>
      <c r="M14" s="21"/>
      <c r="N14" s="21"/>
      <c r="O14" s="22"/>
    </row>
    <row r="15">
      <c r="A15" s="14"/>
      <c r="B15" s="15" t="s">
        <v>17</v>
      </c>
      <c r="C15" s="16">
        <v>5.0</v>
      </c>
      <c r="D15" s="17" t="s">
        <v>12</v>
      </c>
      <c r="E15" s="19" t="s">
        <v>13</v>
      </c>
      <c r="F15" s="19" t="s">
        <v>26</v>
      </c>
      <c r="G15" s="229" t="s">
        <v>15</v>
      </c>
      <c r="H15" s="230" t="s">
        <v>28</v>
      </c>
      <c r="J15" s="20"/>
      <c r="K15" s="21"/>
      <c r="L15" s="21"/>
      <c r="M15" s="21"/>
      <c r="N15" s="21"/>
      <c r="O15" s="22"/>
    </row>
    <row r="16">
      <c r="A16" s="14"/>
      <c r="B16" s="23"/>
      <c r="C16" s="23"/>
      <c r="D16" s="17" t="s">
        <v>16</v>
      </c>
      <c r="E16" s="18" t="s">
        <v>30</v>
      </c>
      <c r="F16" s="19" t="s">
        <v>26</v>
      </c>
      <c r="G16" s="229" t="s">
        <v>19</v>
      </c>
      <c r="H16" s="230" t="s">
        <v>28</v>
      </c>
      <c r="J16" s="20"/>
      <c r="K16" s="21"/>
      <c r="L16" s="21"/>
      <c r="M16" s="21"/>
      <c r="N16" s="21"/>
      <c r="O16" s="22"/>
    </row>
    <row r="17">
      <c r="A17" s="14"/>
      <c r="B17" s="15" t="s">
        <v>21</v>
      </c>
      <c r="C17" s="16">
        <v>6.0</v>
      </c>
      <c r="D17" s="17" t="s">
        <v>12</v>
      </c>
      <c r="E17" s="18" t="s">
        <v>44</v>
      </c>
      <c r="F17" s="18" t="s">
        <v>34</v>
      </c>
      <c r="G17" s="229" t="s">
        <v>19</v>
      </c>
      <c r="H17" s="230"/>
      <c r="J17" s="20"/>
      <c r="K17" s="21"/>
      <c r="L17" s="21"/>
      <c r="M17" s="21"/>
      <c r="N17" s="21"/>
      <c r="O17" s="22"/>
    </row>
    <row r="18">
      <c r="A18" s="14"/>
      <c r="B18" s="23"/>
      <c r="C18" s="23"/>
      <c r="D18" s="17" t="s">
        <v>16</v>
      </c>
      <c r="E18" s="18" t="s">
        <v>44</v>
      </c>
      <c r="F18" s="18" t="s">
        <v>34</v>
      </c>
      <c r="G18" s="229" t="s">
        <v>19</v>
      </c>
      <c r="H18" s="230" t="s">
        <v>28</v>
      </c>
      <c r="J18" s="20"/>
      <c r="K18" s="21"/>
      <c r="L18" s="21"/>
      <c r="M18" s="21"/>
      <c r="N18" s="21"/>
      <c r="O18" s="22"/>
    </row>
    <row r="19">
      <c r="A19" s="14"/>
      <c r="B19" s="15" t="s">
        <v>23</v>
      </c>
      <c r="C19" s="16">
        <v>7.0</v>
      </c>
      <c r="D19" s="17" t="s">
        <v>12</v>
      </c>
      <c r="E19" s="18" t="s">
        <v>13</v>
      </c>
      <c r="F19" s="18" t="s">
        <v>35</v>
      </c>
      <c r="G19" s="229" t="s">
        <v>19</v>
      </c>
      <c r="H19" s="230"/>
      <c r="J19" s="20"/>
      <c r="K19" s="21"/>
      <c r="L19" s="21"/>
      <c r="M19" s="21"/>
      <c r="N19" s="21"/>
      <c r="O19" s="22"/>
    </row>
    <row r="20">
      <c r="A20" s="14"/>
      <c r="B20" s="23"/>
      <c r="C20" s="23"/>
      <c r="D20" s="17" t="s">
        <v>16</v>
      </c>
      <c r="E20" s="18" t="s">
        <v>13</v>
      </c>
      <c r="F20" s="18" t="s">
        <v>35</v>
      </c>
      <c r="G20" s="229" t="s">
        <v>19</v>
      </c>
      <c r="H20" s="230" t="s">
        <v>28</v>
      </c>
      <c r="J20" s="20"/>
      <c r="K20" s="21"/>
      <c r="L20" s="21"/>
      <c r="M20" s="21"/>
      <c r="N20" s="21"/>
      <c r="O20" s="22"/>
    </row>
    <row r="21">
      <c r="A21" s="14"/>
      <c r="B21" s="25" t="s">
        <v>25</v>
      </c>
      <c r="C21" s="26">
        <v>8.0</v>
      </c>
      <c r="D21" s="17" t="s">
        <v>12</v>
      </c>
      <c r="E21" s="18" t="s">
        <v>30</v>
      </c>
      <c r="F21" s="18" t="s">
        <v>35</v>
      </c>
      <c r="G21" s="229" t="s">
        <v>15</v>
      </c>
      <c r="H21" s="230"/>
      <c r="J21" s="27" t="s">
        <v>25</v>
      </c>
      <c r="K21" s="28">
        <v>8.0</v>
      </c>
      <c r="L21" s="29" t="s">
        <v>27</v>
      </c>
      <c r="M21" s="19" t="s">
        <v>22</v>
      </c>
      <c r="N21" s="30" t="s">
        <v>26</v>
      </c>
      <c r="O21" s="31" t="s">
        <v>19</v>
      </c>
    </row>
    <row r="22">
      <c r="A22" s="14"/>
      <c r="B22" s="24"/>
      <c r="C22" s="24"/>
      <c r="D22" s="17" t="s">
        <v>16</v>
      </c>
      <c r="E22" s="18" t="s">
        <v>30</v>
      </c>
      <c r="F22" s="18" t="s">
        <v>35</v>
      </c>
      <c r="G22" s="229" t="s">
        <v>15</v>
      </c>
      <c r="H22" s="230" t="s">
        <v>28</v>
      </c>
      <c r="J22" s="32"/>
      <c r="K22" s="33"/>
      <c r="L22" s="34"/>
      <c r="M22" s="30"/>
      <c r="N22" s="35"/>
      <c r="O22" s="36"/>
    </row>
    <row r="23">
      <c r="A23" s="14"/>
      <c r="B23" s="23"/>
      <c r="C23" s="23"/>
      <c r="D23" s="17" t="s">
        <v>20</v>
      </c>
      <c r="E23" s="19" t="s">
        <v>22</v>
      </c>
      <c r="F23" s="18" t="s">
        <v>35</v>
      </c>
      <c r="G23" s="229" t="s">
        <v>15</v>
      </c>
      <c r="H23" s="230"/>
      <c r="J23" s="20"/>
      <c r="K23" s="21"/>
      <c r="L23" s="21"/>
      <c r="M23" s="21"/>
      <c r="N23" s="21"/>
      <c r="O23" s="22"/>
    </row>
    <row r="24">
      <c r="A24" s="14"/>
      <c r="B24" s="25" t="s">
        <v>29</v>
      </c>
      <c r="C24" s="26">
        <v>9.0</v>
      </c>
      <c r="D24" s="17" t="s">
        <v>12</v>
      </c>
      <c r="E24" s="19" t="s">
        <v>22</v>
      </c>
      <c r="F24" s="18" t="s">
        <v>34</v>
      </c>
      <c r="G24" s="231" t="s">
        <v>19</v>
      </c>
      <c r="H24" s="230" t="s">
        <v>28</v>
      </c>
      <c r="J24" s="27" t="s">
        <v>29</v>
      </c>
      <c r="K24" s="43">
        <v>9.0</v>
      </c>
      <c r="L24" s="44" t="s">
        <v>27</v>
      </c>
      <c r="M24" s="30" t="s">
        <v>30</v>
      </c>
      <c r="N24" s="30" t="s">
        <v>26</v>
      </c>
      <c r="O24" s="31" t="s">
        <v>19</v>
      </c>
    </row>
    <row r="25">
      <c r="A25" s="14"/>
      <c r="B25" s="24"/>
      <c r="C25" s="24"/>
      <c r="D25" s="17" t="s">
        <v>16</v>
      </c>
      <c r="E25" s="19" t="s">
        <v>22</v>
      </c>
      <c r="F25" s="18" t="s">
        <v>34</v>
      </c>
      <c r="G25" s="231" t="s">
        <v>24</v>
      </c>
      <c r="H25" s="230"/>
      <c r="J25" s="32"/>
      <c r="K25" s="34"/>
      <c r="L25" s="45"/>
      <c r="M25" s="30"/>
      <c r="N25" s="35"/>
      <c r="O25" s="36"/>
    </row>
    <row r="26">
      <c r="A26" s="14"/>
      <c r="B26" s="23"/>
      <c r="C26" s="23"/>
      <c r="D26" s="17" t="s">
        <v>20</v>
      </c>
      <c r="E26" s="19" t="s">
        <v>22</v>
      </c>
      <c r="F26" s="18" t="s">
        <v>34</v>
      </c>
      <c r="G26" s="231" t="s">
        <v>24</v>
      </c>
      <c r="H26" s="230"/>
      <c r="J26" s="20"/>
      <c r="K26" s="21"/>
      <c r="L26" s="21"/>
      <c r="M26" s="21"/>
      <c r="N26" s="21"/>
      <c r="O26" s="22"/>
    </row>
    <row r="27">
      <c r="A27" s="14"/>
      <c r="B27" s="25" t="s">
        <v>31</v>
      </c>
      <c r="C27" s="26">
        <v>10.0</v>
      </c>
      <c r="D27" s="17" t="s">
        <v>12</v>
      </c>
      <c r="E27" s="19" t="s">
        <v>30</v>
      </c>
      <c r="F27" s="18" t="s">
        <v>18</v>
      </c>
      <c r="G27" s="229" t="s">
        <v>19</v>
      </c>
      <c r="H27" s="230"/>
      <c r="J27" s="27" t="s">
        <v>31</v>
      </c>
      <c r="K27" s="46">
        <v>10.0</v>
      </c>
      <c r="L27" s="44" t="s">
        <v>27</v>
      </c>
      <c r="M27" s="30" t="s">
        <v>22</v>
      </c>
      <c r="N27" s="30" t="s">
        <v>34</v>
      </c>
      <c r="O27" s="31" t="s">
        <v>15</v>
      </c>
    </row>
    <row r="28">
      <c r="A28" s="14"/>
      <c r="B28" s="24"/>
      <c r="C28" s="24"/>
      <c r="D28" s="17" t="s">
        <v>16</v>
      </c>
      <c r="E28" s="19" t="s">
        <v>30</v>
      </c>
      <c r="F28" s="18" t="s">
        <v>18</v>
      </c>
      <c r="G28" s="229" t="s">
        <v>19</v>
      </c>
      <c r="H28" s="230"/>
      <c r="J28" s="32"/>
      <c r="K28" s="45"/>
      <c r="L28" s="45"/>
      <c r="M28" s="30"/>
      <c r="N28" s="35"/>
      <c r="O28" s="36"/>
    </row>
    <row r="29">
      <c r="A29" s="14"/>
      <c r="B29" s="23"/>
      <c r="C29" s="23"/>
      <c r="D29" s="17" t="s">
        <v>20</v>
      </c>
      <c r="E29" s="19" t="s">
        <v>22</v>
      </c>
      <c r="F29" s="18" t="s">
        <v>18</v>
      </c>
      <c r="G29" s="229" t="s">
        <v>19</v>
      </c>
      <c r="H29" s="230"/>
      <c r="J29" s="20"/>
      <c r="K29" s="21"/>
      <c r="L29" s="21"/>
      <c r="M29" s="21"/>
      <c r="N29" s="21"/>
      <c r="O29" s="22"/>
    </row>
    <row r="30">
      <c r="A30" s="14"/>
      <c r="B30" s="15" t="s">
        <v>11</v>
      </c>
      <c r="C30" s="16">
        <v>11.0</v>
      </c>
      <c r="D30" s="17" t="s">
        <v>12</v>
      </c>
      <c r="E30" s="18" t="s">
        <v>13</v>
      </c>
      <c r="F30" s="18" t="s">
        <v>18</v>
      </c>
      <c r="G30" s="229" t="s">
        <v>15</v>
      </c>
      <c r="H30" s="230" t="s">
        <v>28</v>
      </c>
      <c r="J30" s="20"/>
      <c r="K30" s="21"/>
      <c r="L30" s="21"/>
      <c r="M30" s="21"/>
      <c r="N30" s="21"/>
      <c r="O30" s="22"/>
    </row>
    <row r="31">
      <c r="A31" s="14"/>
      <c r="B31" s="23"/>
      <c r="C31" s="23"/>
      <c r="D31" s="17" t="s">
        <v>16</v>
      </c>
      <c r="E31" s="18" t="s">
        <v>30</v>
      </c>
      <c r="F31" s="18" t="s">
        <v>14</v>
      </c>
      <c r="G31" s="229" t="s">
        <v>15</v>
      </c>
      <c r="H31" s="230"/>
      <c r="J31" s="20"/>
      <c r="K31" s="21"/>
      <c r="L31" s="21"/>
      <c r="M31" s="21"/>
      <c r="N31" s="21"/>
      <c r="O31" s="22"/>
    </row>
    <row r="32">
      <c r="A32" s="14"/>
      <c r="B32" s="15" t="s">
        <v>17</v>
      </c>
      <c r="C32" s="16">
        <v>12.0</v>
      </c>
      <c r="D32" s="17" t="s">
        <v>12</v>
      </c>
      <c r="E32" s="18" t="s">
        <v>22</v>
      </c>
      <c r="F32" s="18" t="s">
        <v>26</v>
      </c>
      <c r="G32" s="229" t="s">
        <v>15</v>
      </c>
      <c r="H32" s="230"/>
      <c r="J32" s="20"/>
      <c r="K32" s="21"/>
      <c r="L32" s="21"/>
      <c r="M32" s="21"/>
      <c r="N32" s="21"/>
      <c r="O32" s="22"/>
    </row>
    <row r="33">
      <c r="A33" s="14"/>
      <c r="B33" s="24"/>
      <c r="C33" s="24"/>
      <c r="D33" s="17" t="s">
        <v>16</v>
      </c>
      <c r="E33" s="18" t="s">
        <v>22</v>
      </c>
      <c r="F33" s="18" t="s">
        <v>14</v>
      </c>
      <c r="G33" s="229" t="s">
        <v>15</v>
      </c>
      <c r="H33" s="230"/>
      <c r="J33" s="20"/>
      <c r="K33" s="21"/>
      <c r="L33" s="21"/>
      <c r="M33" s="21"/>
      <c r="N33" s="21"/>
      <c r="O33" s="22"/>
    </row>
    <row r="34">
      <c r="A34" s="14"/>
      <c r="B34" s="23"/>
      <c r="C34" s="23"/>
      <c r="D34" s="17" t="s">
        <v>20</v>
      </c>
      <c r="E34" s="18" t="s">
        <v>22</v>
      </c>
      <c r="F34" s="18" t="s">
        <v>14</v>
      </c>
      <c r="G34" s="229" t="s">
        <v>19</v>
      </c>
      <c r="H34" s="230"/>
      <c r="J34" s="20"/>
      <c r="K34" s="21"/>
      <c r="L34" s="21"/>
      <c r="M34" s="21"/>
      <c r="N34" s="21"/>
      <c r="O34" s="22"/>
    </row>
    <row r="35">
      <c r="A35" s="14"/>
      <c r="B35" s="15" t="s">
        <v>21</v>
      </c>
      <c r="C35" s="16">
        <v>13.0</v>
      </c>
      <c r="D35" s="17" t="s">
        <v>12</v>
      </c>
      <c r="E35" s="18" t="s">
        <v>13</v>
      </c>
      <c r="F35" s="18" t="s">
        <v>18</v>
      </c>
      <c r="G35" s="229" t="s">
        <v>19</v>
      </c>
      <c r="H35" s="230"/>
      <c r="J35" s="20"/>
      <c r="K35" s="21"/>
      <c r="L35" s="21"/>
      <c r="M35" s="21"/>
      <c r="N35" s="21"/>
      <c r="O35" s="22"/>
    </row>
    <row r="36">
      <c r="A36" s="14"/>
      <c r="B36" s="24"/>
      <c r="C36" s="24"/>
      <c r="D36" s="17" t="s">
        <v>16</v>
      </c>
      <c r="E36" s="18" t="s">
        <v>13</v>
      </c>
      <c r="F36" s="18" t="s">
        <v>18</v>
      </c>
      <c r="G36" s="229" t="s">
        <v>19</v>
      </c>
      <c r="H36" s="230"/>
      <c r="J36" s="20"/>
      <c r="K36" s="21"/>
      <c r="L36" s="21"/>
      <c r="M36" s="21"/>
      <c r="N36" s="21"/>
      <c r="O36" s="22"/>
    </row>
    <row r="37">
      <c r="A37" s="14"/>
      <c r="B37" s="23"/>
      <c r="C37" s="23"/>
      <c r="D37" s="17" t="s">
        <v>20</v>
      </c>
      <c r="E37" s="18" t="s">
        <v>13</v>
      </c>
      <c r="F37" s="18" t="s">
        <v>18</v>
      </c>
      <c r="G37" s="229" t="s">
        <v>19</v>
      </c>
      <c r="H37" s="230"/>
      <c r="J37" s="20"/>
      <c r="K37" s="21"/>
      <c r="L37" s="21"/>
      <c r="M37" s="21"/>
      <c r="N37" s="21"/>
      <c r="O37" s="22"/>
    </row>
    <row r="38">
      <c r="A38" s="14"/>
      <c r="B38" s="15" t="s">
        <v>23</v>
      </c>
      <c r="C38" s="16">
        <v>14.0</v>
      </c>
      <c r="D38" s="17" t="s">
        <v>12</v>
      </c>
      <c r="E38" s="18" t="s">
        <v>13</v>
      </c>
      <c r="F38" s="18" t="s">
        <v>26</v>
      </c>
      <c r="G38" s="229" t="s">
        <v>19</v>
      </c>
      <c r="H38" s="230" t="s">
        <v>28</v>
      </c>
      <c r="J38" s="20"/>
      <c r="K38" s="21"/>
      <c r="L38" s="21"/>
      <c r="M38" s="21"/>
      <c r="N38" s="21"/>
      <c r="O38" s="22"/>
    </row>
    <row r="39">
      <c r="A39" s="14"/>
      <c r="B39" s="23"/>
      <c r="C39" s="23"/>
      <c r="D39" s="17" t="s">
        <v>16</v>
      </c>
      <c r="E39" s="18" t="s">
        <v>13</v>
      </c>
      <c r="F39" s="18" t="s">
        <v>14</v>
      </c>
      <c r="G39" s="229" t="s">
        <v>19</v>
      </c>
      <c r="H39" s="230"/>
      <c r="J39" s="20"/>
      <c r="K39" s="21"/>
      <c r="L39" s="21"/>
      <c r="M39" s="21"/>
      <c r="N39" s="21"/>
      <c r="O39" s="22"/>
    </row>
    <row r="40">
      <c r="A40" s="14"/>
      <c r="B40" s="25" t="s">
        <v>25</v>
      </c>
      <c r="C40" s="26">
        <v>15.0</v>
      </c>
      <c r="D40" s="17" t="s">
        <v>12</v>
      </c>
      <c r="E40" s="18" t="s">
        <v>13</v>
      </c>
      <c r="F40" s="18" t="s">
        <v>34</v>
      </c>
      <c r="G40" s="229" t="s">
        <v>15</v>
      </c>
      <c r="H40" s="230"/>
      <c r="J40" s="20"/>
      <c r="K40" s="21"/>
      <c r="L40" s="21"/>
      <c r="M40" s="21"/>
      <c r="N40" s="21"/>
      <c r="O40" s="22"/>
    </row>
    <row r="41">
      <c r="A41" s="14"/>
      <c r="B41" s="24"/>
      <c r="C41" s="24"/>
      <c r="D41" s="17" t="s">
        <v>16</v>
      </c>
      <c r="E41" s="18" t="s">
        <v>13</v>
      </c>
      <c r="F41" s="18" t="s">
        <v>34</v>
      </c>
      <c r="G41" s="229" t="s">
        <v>15</v>
      </c>
      <c r="H41" s="230"/>
      <c r="J41" s="27" t="s">
        <v>25</v>
      </c>
      <c r="K41" s="28">
        <v>15.0</v>
      </c>
      <c r="L41" s="29" t="s">
        <v>27</v>
      </c>
      <c r="M41" s="30" t="s">
        <v>22</v>
      </c>
      <c r="N41" s="30" t="s">
        <v>18</v>
      </c>
      <c r="O41" s="31" t="s">
        <v>19</v>
      </c>
    </row>
    <row r="42">
      <c r="A42" s="14"/>
      <c r="B42" s="23"/>
      <c r="C42" s="23"/>
      <c r="D42" s="17" t="s">
        <v>20</v>
      </c>
      <c r="E42" s="18" t="s">
        <v>13</v>
      </c>
      <c r="F42" s="18" t="s">
        <v>34</v>
      </c>
      <c r="G42" s="229" t="s">
        <v>15</v>
      </c>
      <c r="H42" s="230"/>
      <c r="J42" s="32"/>
      <c r="K42" s="33"/>
      <c r="L42" s="34"/>
      <c r="M42" s="30"/>
      <c r="N42" s="35"/>
      <c r="O42" s="36"/>
    </row>
    <row r="43">
      <c r="A43" s="14"/>
      <c r="B43" s="25" t="s">
        <v>29</v>
      </c>
      <c r="C43" s="26">
        <v>16.0</v>
      </c>
      <c r="D43" s="17" t="s">
        <v>12</v>
      </c>
      <c r="E43" s="18" t="s">
        <v>30</v>
      </c>
      <c r="F43" s="18" t="s">
        <v>34</v>
      </c>
      <c r="G43" s="229" t="s">
        <v>19</v>
      </c>
      <c r="H43" s="230"/>
      <c r="J43" s="20"/>
      <c r="K43" s="21"/>
      <c r="L43" s="21"/>
      <c r="M43" s="21"/>
      <c r="N43" s="21"/>
      <c r="O43" s="22"/>
    </row>
    <row r="44">
      <c r="A44" s="14"/>
      <c r="B44" s="24"/>
      <c r="C44" s="24"/>
      <c r="D44" s="17" t="s">
        <v>16</v>
      </c>
      <c r="E44" s="18" t="s">
        <v>30</v>
      </c>
      <c r="F44" s="18" t="s">
        <v>34</v>
      </c>
      <c r="G44" s="229" t="s">
        <v>19</v>
      </c>
      <c r="H44" s="230"/>
      <c r="J44" s="27" t="s">
        <v>29</v>
      </c>
      <c r="K44" s="43">
        <v>16.0</v>
      </c>
      <c r="L44" s="44" t="s">
        <v>27</v>
      </c>
      <c r="M44" s="30" t="s">
        <v>13</v>
      </c>
      <c r="N44" s="30" t="s">
        <v>26</v>
      </c>
      <c r="O44" s="31" t="s">
        <v>15</v>
      </c>
    </row>
    <row r="45">
      <c r="A45" s="14"/>
      <c r="B45" s="23"/>
      <c r="C45" s="23"/>
      <c r="D45" s="17" t="s">
        <v>20</v>
      </c>
      <c r="E45" s="18" t="s">
        <v>30</v>
      </c>
      <c r="F45" s="18" t="s">
        <v>34</v>
      </c>
      <c r="G45" s="229" t="s">
        <v>19</v>
      </c>
      <c r="H45" s="230"/>
      <c r="J45" s="32"/>
      <c r="K45" s="34"/>
      <c r="L45" s="45"/>
      <c r="M45" s="30"/>
      <c r="N45" s="35"/>
      <c r="O45" s="36"/>
    </row>
    <row r="46">
      <c r="A46" s="14"/>
      <c r="B46" s="25" t="s">
        <v>31</v>
      </c>
      <c r="C46" s="26">
        <v>17.0</v>
      </c>
      <c r="D46" s="17" t="s">
        <v>12</v>
      </c>
      <c r="E46" s="18" t="s">
        <v>30</v>
      </c>
      <c r="F46" s="18" t="s">
        <v>18</v>
      </c>
      <c r="G46" s="231" t="s">
        <v>15</v>
      </c>
      <c r="H46" s="230"/>
      <c r="J46" s="20"/>
      <c r="K46" s="21"/>
      <c r="L46" s="21"/>
      <c r="M46" s="21"/>
      <c r="N46" s="21"/>
      <c r="O46" s="22"/>
    </row>
    <row r="47">
      <c r="A47" s="14"/>
      <c r="B47" s="24"/>
      <c r="C47" s="24"/>
      <c r="D47" s="17" t="s">
        <v>16</v>
      </c>
      <c r="E47" s="18" t="s">
        <v>30</v>
      </c>
      <c r="F47" s="18" t="s">
        <v>18</v>
      </c>
      <c r="G47" s="231" t="s">
        <v>15</v>
      </c>
      <c r="H47" s="230"/>
      <c r="J47" s="27" t="s">
        <v>31</v>
      </c>
      <c r="K47" s="46">
        <v>17.0</v>
      </c>
      <c r="L47" s="44" t="s">
        <v>27</v>
      </c>
      <c r="M47" s="30" t="s">
        <v>22</v>
      </c>
      <c r="N47" s="30" t="s">
        <v>26</v>
      </c>
      <c r="O47" s="31" t="s">
        <v>19</v>
      </c>
    </row>
    <row r="48">
      <c r="A48" s="14"/>
      <c r="B48" s="23"/>
      <c r="C48" s="23"/>
      <c r="D48" s="17" t="s">
        <v>20</v>
      </c>
      <c r="E48" s="18" t="s">
        <v>30</v>
      </c>
      <c r="F48" s="18" t="s">
        <v>18</v>
      </c>
      <c r="G48" s="231" t="s">
        <v>15</v>
      </c>
      <c r="H48" s="230"/>
      <c r="J48" s="32"/>
      <c r="K48" s="45"/>
      <c r="L48" s="45"/>
      <c r="M48" s="30"/>
      <c r="N48" s="35"/>
      <c r="O48" s="36"/>
    </row>
    <row r="49">
      <c r="A49" s="14"/>
      <c r="B49" s="15" t="s">
        <v>11</v>
      </c>
      <c r="C49" s="16">
        <v>18.0</v>
      </c>
      <c r="D49" s="17" t="s">
        <v>12</v>
      </c>
      <c r="E49" s="18" t="s">
        <v>13</v>
      </c>
      <c r="F49" s="18" t="s">
        <v>26</v>
      </c>
      <c r="G49" s="229" t="s">
        <v>19</v>
      </c>
      <c r="H49" s="230"/>
      <c r="J49" s="20"/>
      <c r="K49" s="21"/>
      <c r="L49" s="21"/>
      <c r="M49" s="21"/>
      <c r="N49" s="21"/>
      <c r="O49" s="22"/>
    </row>
    <row r="50">
      <c r="A50" s="14"/>
      <c r="B50" s="23"/>
      <c r="C50" s="23"/>
      <c r="D50" s="17" t="s">
        <v>16</v>
      </c>
      <c r="E50" s="18" t="s">
        <v>30</v>
      </c>
      <c r="F50" s="18" t="s">
        <v>14</v>
      </c>
      <c r="G50" s="229" t="s">
        <v>19</v>
      </c>
      <c r="H50" s="230"/>
      <c r="J50" s="20"/>
      <c r="K50" s="21"/>
      <c r="L50" s="21"/>
      <c r="M50" s="21"/>
      <c r="N50" s="21"/>
      <c r="O50" s="22"/>
    </row>
    <row r="51">
      <c r="A51" s="14"/>
      <c r="B51" s="15" t="s">
        <v>17</v>
      </c>
      <c r="C51" s="16">
        <v>19.0</v>
      </c>
      <c r="D51" s="17" t="s">
        <v>32</v>
      </c>
      <c r="E51" s="18" t="s">
        <v>45</v>
      </c>
      <c r="F51" s="18" t="s">
        <v>208</v>
      </c>
      <c r="G51" s="229" t="s">
        <v>19</v>
      </c>
      <c r="H51" s="230"/>
      <c r="J51" s="20"/>
      <c r="K51" s="21"/>
      <c r="L51" s="21"/>
      <c r="M51" s="21"/>
      <c r="N51" s="21"/>
      <c r="O51" s="22"/>
    </row>
    <row r="52">
      <c r="A52" s="14"/>
      <c r="B52" s="24"/>
      <c r="C52" s="24"/>
      <c r="D52" s="17" t="s">
        <v>12</v>
      </c>
      <c r="E52" s="18" t="s">
        <v>22</v>
      </c>
      <c r="F52" s="19" t="s">
        <v>26</v>
      </c>
      <c r="G52" s="229" t="s">
        <v>19</v>
      </c>
      <c r="H52" s="230"/>
      <c r="J52" s="20"/>
      <c r="K52" s="21"/>
      <c r="L52" s="21"/>
      <c r="M52" s="21"/>
      <c r="N52" s="21"/>
      <c r="O52" s="22"/>
    </row>
    <row r="53">
      <c r="A53" s="14"/>
      <c r="B53" s="23"/>
      <c r="C53" s="23"/>
      <c r="D53" s="17" t="s">
        <v>16</v>
      </c>
      <c r="E53" s="18" t="s">
        <v>22</v>
      </c>
      <c r="F53" s="18" t="s">
        <v>14</v>
      </c>
      <c r="G53" s="229" t="s">
        <v>19</v>
      </c>
      <c r="H53" s="230"/>
      <c r="J53" s="20"/>
      <c r="K53" s="21"/>
      <c r="L53" s="21"/>
      <c r="M53" s="21"/>
      <c r="N53" s="21"/>
      <c r="O53" s="22"/>
    </row>
    <row r="54">
      <c r="A54" s="14"/>
      <c r="B54" s="15" t="s">
        <v>21</v>
      </c>
      <c r="C54" s="16">
        <v>20.0</v>
      </c>
      <c r="D54" s="17" t="s">
        <v>12</v>
      </c>
      <c r="E54" s="18" t="s">
        <v>13</v>
      </c>
      <c r="F54" s="19" t="s">
        <v>26</v>
      </c>
      <c r="G54" s="229" t="s">
        <v>15</v>
      </c>
      <c r="H54" s="230"/>
      <c r="J54" s="20"/>
      <c r="K54" s="21"/>
      <c r="L54" s="21"/>
      <c r="M54" s="21"/>
      <c r="N54" s="21"/>
      <c r="O54" s="22"/>
    </row>
    <row r="55">
      <c r="A55" s="14"/>
      <c r="B55" s="23"/>
      <c r="C55" s="23"/>
      <c r="D55" s="17" t="s">
        <v>16</v>
      </c>
      <c r="E55" s="18" t="s">
        <v>13</v>
      </c>
      <c r="F55" s="19" t="s">
        <v>26</v>
      </c>
      <c r="G55" s="229" t="s">
        <v>15</v>
      </c>
      <c r="H55" s="230"/>
      <c r="J55" s="20"/>
      <c r="K55" s="21"/>
      <c r="L55" s="21"/>
      <c r="M55" s="21"/>
      <c r="N55" s="21"/>
      <c r="O55" s="22"/>
    </row>
    <row r="56">
      <c r="A56" s="14"/>
      <c r="B56" s="15" t="s">
        <v>23</v>
      </c>
      <c r="C56" s="16">
        <v>21.0</v>
      </c>
      <c r="D56" s="17" t="s">
        <v>12</v>
      </c>
      <c r="E56" s="18" t="s">
        <v>13</v>
      </c>
      <c r="F56" s="18" t="s">
        <v>35</v>
      </c>
      <c r="G56" s="229" t="s">
        <v>15</v>
      </c>
      <c r="H56" s="230"/>
      <c r="J56" s="20"/>
      <c r="K56" s="21"/>
      <c r="L56" s="21"/>
      <c r="M56" s="21"/>
      <c r="N56" s="21"/>
      <c r="O56" s="22"/>
    </row>
    <row r="57">
      <c r="A57" s="14"/>
      <c r="B57" s="23"/>
      <c r="C57" s="23"/>
      <c r="D57" s="17" t="s">
        <v>16</v>
      </c>
      <c r="E57" s="18" t="s">
        <v>30</v>
      </c>
      <c r="F57" s="18" t="s">
        <v>14</v>
      </c>
      <c r="G57" s="229" t="s">
        <v>15</v>
      </c>
      <c r="H57" s="230"/>
      <c r="J57" s="20"/>
      <c r="K57" s="21"/>
      <c r="L57" s="21"/>
      <c r="M57" s="21"/>
      <c r="N57" s="21"/>
      <c r="O57" s="22"/>
    </row>
    <row r="58">
      <c r="A58" s="14"/>
      <c r="B58" s="25" t="s">
        <v>25</v>
      </c>
      <c r="C58" s="26">
        <v>22.0</v>
      </c>
      <c r="D58" s="17" t="s">
        <v>12</v>
      </c>
      <c r="E58" s="18" t="s">
        <v>22</v>
      </c>
      <c r="F58" s="18" t="s">
        <v>26</v>
      </c>
      <c r="G58" s="229" t="s">
        <v>15</v>
      </c>
      <c r="H58" s="230"/>
      <c r="J58" s="20"/>
      <c r="K58" s="21"/>
      <c r="L58" s="21"/>
      <c r="M58" s="21"/>
      <c r="N58" s="21"/>
      <c r="O58" s="22"/>
    </row>
    <row r="59">
      <c r="A59" s="14"/>
      <c r="B59" s="24"/>
      <c r="C59" s="24"/>
      <c r="D59" s="17" t="s">
        <v>16</v>
      </c>
      <c r="E59" s="18" t="s">
        <v>22</v>
      </c>
      <c r="F59" s="18" t="s">
        <v>26</v>
      </c>
      <c r="G59" s="229" t="s">
        <v>15</v>
      </c>
      <c r="H59" s="230"/>
      <c r="J59" s="27" t="s">
        <v>25</v>
      </c>
      <c r="K59" s="28">
        <v>22.0</v>
      </c>
      <c r="L59" s="29" t="s">
        <v>27</v>
      </c>
      <c r="M59" s="30"/>
      <c r="N59" s="30"/>
      <c r="O59" s="31"/>
    </row>
    <row r="60">
      <c r="A60" s="14"/>
      <c r="B60" s="23"/>
      <c r="C60" s="23"/>
      <c r="D60" s="17" t="s">
        <v>20</v>
      </c>
      <c r="E60" s="18" t="s">
        <v>22</v>
      </c>
      <c r="F60" s="18" t="s">
        <v>26</v>
      </c>
      <c r="G60" s="229" t="s">
        <v>15</v>
      </c>
      <c r="H60" s="230"/>
      <c r="J60" s="32"/>
      <c r="K60" s="33"/>
      <c r="L60" s="34"/>
      <c r="M60" s="30"/>
      <c r="N60" s="35"/>
      <c r="O60" s="36"/>
    </row>
    <row r="61">
      <c r="A61" s="14"/>
      <c r="B61" s="25" t="s">
        <v>29</v>
      </c>
      <c r="C61" s="26">
        <v>23.0</v>
      </c>
      <c r="D61" s="17" t="s">
        <v>12</v>
      </c>
      <c r="E61" s="19" t="s">
        <v>30</v>
      </c>
      <c r="F61" s="18" t="s">
        <v>26</v>
      </c>
      <c r="G61" s="229" t="s">
        <v>19</v>
      </c>
      <c r="H61" s="230"/>
      <c r="J61" s="20"/>
      <c r="K61" s="21"/>
      <c r="L61" s="21"/>
      <c r="M61" s="21"/>
      <c r="N61" s="21"/>
      <c r="O61" s="22"/>
    </row>
    <row r="62">
      <c r="A62" s="14"/>
      <c r="B62" s="24"/>
      <c r="C62" s="24"/>
      <c r="D62" s="17" t="s">
        <v>16</v>
      </c>
      <c r="E62" s="19" t="s">
        <v>30</v>
      </c>
      <c r="F62" s="18" t="s">
        <v>26</v>
      </c>
      <c r="G62" s="229" t="s">
        <v>24</v>
      </c>
      <c r="H62" s="230"/>
      <c r="J62" s="27" t="s">
        <v>29</v>
      </c>
      <c r="K62" s="43">
        <v>23.0</v>
      </c>
      <c r="L62" s="44" t="s">
        <v>27</v>
      </c>
      <c r="M62" s="30" t="s">
        <v>13</v>
      </c>
      <c r="N62" s="30" t="s">
        <v>34</v>
      </c>
      <c r="O62" s="31" t="s">
        <v>15</v>
      </c>
    </row>
    <row r="63">
      <c r="A63" s="14"/>
      <c r="B63" s="23"/>
      <c r="C63" s="23"/>
      <c r="D63" s="17" t="s">
        <v>20</v>
      </c>
      <c r="E63" s="19" t="s">
        <v>30</v>
      </c>
      <c r="F63" s="18" t="s">
        <v>26</v>
      </c>
      <c r="G63" s="229" t="s">
        <v>15</v>
      </c>
      <c r="H63" s="230"/>
      <c r="J63" s="32"/>
      <c r="K63" s="34"/>
      <c r="L63" s="45"/>
      <c r="M63" s="30"/>
      <c r="N63" s="35"/>
      <c r="O63" s="36"/>
    </row>
    <row r="64">
      <c r="A64" s="14"/>
      <c r="B64" s="25" t="s">
        <v>31</v>
      </c>
      <c r="C64" s="26">
        <v>24.0</v>
      </c>
      <c r="D64" s="17" t="s">
        <v>12</v>
      </c>
      <c r="E64" s="18" t="s">
        <v>44</v>
      </c>
      <c r="F64" s="18" t="s">
        <v>18</v>
      </c>
      <c r="G64" s="229" t="s">
        <v>19</v>
      </c>
      <c r="H64" s="230"/>
      <c r="J64" s="20"/>
      <c r="K64" s="21"/>
      <c r="L64" s="21"/>
      <c r="M64" s="21"/>
      <c r="N64" s="21"/>
      <c r="O64" s="22"/>
    </row>
    <row r="65">
      <c r="A65" s="14"/>
      <c r="B65" s="24"/>
      <c r="C65" s="24"/>
      <c r="D65" s="17" t="s">
        <v>16</v>
      </c>
      <c r="E65" s="18" t="s">
        <v>44</v>
      </c>
      <c r="F65" s="18" t="s">
        <v>18</v>
      </c>
      <c r="G65" s="229" t="s">
        <v>19</v>
      </c>
      <c r="H65" s="230"/>
      <c r="J65" s="27" t="s">
        <v>31</v>
      </c>
      <c r="K65" s="46">
        <v>24.0</v>
      </c>
      <c r="L65" s="44" t="s">
        <v>27</v>
      </c>
      <c r="M65" s="30" t="s">
        <v>30</v>
      </c>
      <c r="N65" s="30" t="s">
        <v>26</v>
      </c>
      <c r="O65" s="31" t="s">
        <v>15</v>
      </c>
    </row>
    <row r="66">
      <c r="A66" s="14"/>
      <c r="B66" s="23"/>
      <c r="C66" s="23"/>
      <c r="D66" s="17" t="s">
        <v>20</v>
      </c>
      <c r="E66" s="18" t="s">
        <v>44</v>
      </c>
      <c r="F66" s="18" t="s">
        <v>18</v>
      </c>
      <c r="G66" s="229" t="s">
        <v>15</v>
      </c>
      <c r="H66" s="230"/>
      <c r="J66" s="32"/>
      <c r="K66" s="45"/>
      <c r="L66" s="45"/>
      <c r="M66" s="30"/>
      <c r="N66" s="35"/>
      <c r="O66" s="36"/>
    </row>
    <row r="67">
      <c r="A67" s="14"/>
      <c r="B67" s="15" t="s">
        <v>11</v>
      </c>
      <c r="C67" s="16">
        <v>25.0</v>
      </c>
      <c r="D67" s="17" t="s">
        <v>12</v>
      </c>
      <c r="E67" s="18" t="s">
        <v>13</v>
      </c>
      <c r="F67" s="18" t="s">
        <v>18</v>
      </c>
      <c r="G67" s="229" t="s">
        <v>19</v>
      </c>
      <c r="H67" s="230"/>
      <c r="J67" s="20"/>
      <c r="K67" s="21"/>
      <c r="L67" s="189"/>
      <c r="M67" s="189"/>
      <c r="N67" s="189"/>
      <c r="O67" s="190"/>
    </row>
    <row r="68">
      <c r="A68" s="14"/>
      <c r="B68" s="23"/>
      <c r="C68" s="23"/>
      <c r="D68" s="17" t="s">
        <v>16</v>
      </c>
      <c r="E68" s="18" t="s">
        <v>13</v>
      </c>
      <c r="F68" s="18" t="s">
        <v>14</v>
      </c>
      <c r="G68" s="229" t="s">
        <v>19</v>
      </c>
      <c r="H68" s="230"/>
      <c r="J68" s="20"/>
      <c r="K68" s="21"/>
      <c r="L68" s="21"/>
      <c r="M68" s="21"/>
      <c r="N68" s="21"/>
      <c r="O68" s="22"/>
    </row>
    <row r="69">
      <c r="A69" s="14"/>
      <c r="B69" s="15" t="s">
        <v>17</v>
      </c>
      <c r="C69" s="16">
        <v>26.0</v>
      </c>
      <c r="D69" s="17" t="s">
        <v>12</v>
      </c>
      <c r="E69" s="18" t="s">
        <v>22</v>
      </c>
      <c r="F69" s="18" t="s">
        <v>26</v>
      </c>
      <c r="G69" s="229" t="s">
        <v>15</v>
      </c>
      <c r="H69" s="230"/>
      <c r="J69" s="20"/>
      <c r="K69" s="21"/>
      <c r="L69" s="21"/>
      <c r="M69" s="21"/>
      <c r="N69" s="21"/>
      <c r="O69" s="22"/>
    </row>
    <row r="70">
      <c r="A70" s="14"/>
      <c r="B70" s="23"/>
      <c r="C70" s="23"/>
      <c r="D70" s="17" t="s">
        <v>16</v>
      </c>
      <c r="E70" s="18" t="s">
        <v>22</v>
      </c>
      <c r="F70" s="18" t="s">
        <v>14</v>
      </c>
      <c r="G70" s="229" t="s">
        <v>15</v>
      </c>
      <c r="H70" s="230"/>
      <c r="J70" s="20"/>
      <c r="K70" s="21"/>
      <c r="L70" s="21"/>
      <c r="M70" s="21"/>
      <c r="N70" s="21"/>
      <c r="O70" s="22"/>
    </row>
    <row r="71">
      <c r="A71" s="14"/>
      <c r="B71" s="15" t="s">
        <v>21</v>
      </c>
      <c r="C71" s="16">
        <v>27.0</v>
      </c>
      <c r="D71" s="17" t="s">
        <v>12</v>
      </c>
      <c r="E71" s="18" t="s">
        <v>13</v>
      </c>
      <c r="F71" s="18" t="s">
        <v>18</v>
      </c>
      <c r="G71" s="229" t="s">
        <v>15</v>
      </c>
      <c r="H71" s="230"/>
      <c r="J71" s="20"/>
      <c r="K71" s="21"/>
      <c r="L71" s="21"/>
      <c r="M71" s="21"/>
      <c r="N71" s="21"/>
      <c r="O71" s="22"/>
    </row>
    <row r="72">
      <c r="A72" s="14"/>
      <c r="B72" s="24"/>
      <c r="C72" s="24"/>
      <c r="D72" s="17" t="s">
        <v>16</v>
      </c>
      <c r="E72" s="18" t="s">
        <v>13</v>
      </c>
      <c r="F72" s="18" t="s">
        <v>18</v>
      </c>
      <c r="G72" s="229" t="s">
        <v>15</v>
      </c>
      <c r="H72" s="230"/>
      <c r="J72" s="20"/>
      <c r="K72" s="21"/>
      <c r="L72" s="21"/>
      <c r="M72" s="21"/>
      <c r="N72" s="21"/>
      <c r="O72" s="22"/>
    </row>
    <row r="73">
      <c r="A73" s="14"/>
      <c r="B73" s="23"/>
      <c r="C73" s="23"/>
      <c r="D73" s="17" t="s">
        <v>20</v>
      </c>
      <c r="E73" s="18" t="s">
        <v>13</v>
      </c>
      <c r="F73" s="18" t="s">
        <v>18</v>
      </c>
      <c r="G73" s="229" t="s">
        <v>24</v>
      </c>
      <c r="H73" s="230"/>
      <c r="J73" s="20"/>
      <c r="K73" s="21"/>
      <c r="L73" s="21"/>
      <c r="M73" s="21"/>
      <c r="N73" s="21"/>
      <c r="O73" s="22"/>
    </row>
    <row r="74">
      <c r="A74" s="14"/>
      <c r="B74" s="15" t="s">
        <v>23</v>
      </c>
      <c r="C74" s="16">
        <v>28.0</v>
      </c>
      <c r="D74" s="17" t="s">
        <v>12</v>
      </c>
      <c r="E74" s="18" t="s">
        <v>30</v>
      </c>
      <c r="F74" s="18" t="s">
        <v>26</v>
      </c>
      <c r="G74" s="229" t="s">
        <v>19</v>
      </c>
      <c r="H74" s="230"/>
      <c r="J74" s="20"/>
      <c r="K74" s="21"/>
      <c r="L74" s="21"/>
      <c r="M74" s="21"/>
      <c r="N74" s="21"/>
      <c r="O74" s="22"/>
    </row>
    <row r="75">
      <c r="A75" s="14"/>
      <c r="B75" s="23"/>
      <c r="C75" s="23"/>
      <c r="D75" s="17" t="s">
        <v>16</v>
      </c>
      <c r="E75" s="18" t="s">
        <v>30</v>
      </c>
      <c r="F75" s="18" t="s">
        <v>14</v>
      </c>
      <c r="G75" s="229" t="s">
        <v>19</v>
      </c>
      <c r="H75" s="230"/>
      <c r="J75" s="20"/>
      <c r="K75" s="21"/>
      <c r="L75" s="21"/>
      <c r="M75" s="21"/>
      <c r="N75" s="21"/>
      <c r="O75" s="22"/>
    </row>
    <row r="76">
      <c r="A76" s="14"/>
      <c r="B76" s="25" t="s">
        <v>25</v>
      </c>
      <c r="C76" s="26">
        <v>29.0</v>
      </c>
      <c r="D76" s="17" t="s">
        <v>12</v>
      </c>
      <c r="E76" s="18" t="s">
        <v>13</v>
      </c>
      <c r="F76" s="18" t="s">
        <v>34</v>
      </c>
      <c r="G76" s="231" t="s">
        <v>19</v>
      </c>
      <c r="H76" s="230"/>
      <c r="J76" s="20"/>
      <c r="K76" s="21"/>
      <c r="L76" s="21"/>
      <c r="M76" s="21"/>
      <c r="N76" s="21"/>
      <c r="O76" s="22"/>
    </row>
    <row r="77">
      <c r="A77" s="14"/>
      <c r="B77" s="24"/>
      <c r="C77" s="24"/>
      <c r="D77" s="17" t="s">
        <v>16</v>
      </c>
      <c r="E77" s="18" t="s">
        <v>44</v>
      </c>
      <c r="F77" s="18" t="s">
        <v>34</v>
      </c>
      <c r="G77" s="231" t="s">
        <v>24</v>
      </c>
      <c r="H77" s="230"/>
      <c r="J77" s="27" t="s">
        <v>25</v>
      </c>
      <c r="K77" s="28">
        <v>29.0</v>
      </c>
      <c r="L77" s="29" t="s">
        <v>27</v>
      </c>
      <c r="M77" s="30" t="s">
        <v>30</v>
      </c>
      <c r="N77" s="30" t="s">
        <v>18</v>
      </c>
      <c r="O77" s="31" t="s">
        <v>19</v>
      </c>
    </row>
    <row r="78">
      <c r="A78" s="14"/>
      <c r="B78" s="23"/>
      <c r="C78" s="23"/>
      <c r="D78" s="17" t="s">
        <v>20</v>
      </c>
      <c r="E78" s="18" t="s">
        <v>30</v>
      </c>
      <c r="F78" s="18" t="s">
        <v>34</v>
      </c>
      <c r="G78" s="231" t="s">
        <v>19</v>
      </c>
      <c r="H78" s="230"/>
      <c r="J78" s="32"/>
      <c r="K78" s="33"/>
      <c r="L78" s="34"/>
      <c r="M78" s="30"/>
      <c r="N78" s="35"/>
      <c r="O78" s="36"/>
    </row>
    <row r="79">
      <c r="A79" s="14"/>
      <c r="B79" s="25" t="s">
        <v>29</v>
      </c>
      <c r="C79" s="26">
        <v>30.0</v>
      </c>
      <c r="D79" s="17" t="s">
        <v>12</v>
      </c>
      <c r="E79" s="19" t="s">
        <v>13</v>
      </c>
      <c r="F79" s="18" t="s">
        <v>34</v>
      </c>
      <c r="G79" s="229" t="s">
        <v>24</v>
      </c>
      <c r="H79" s="230"/>
      <c r="J79" s="20"/>
      <c r="K79" s="21"/>
      <c r="L79" s="21"/>
      <c r="M79" s="21"/>
      <c r="N79" s="21"/>
      <c r="O79" s="22"/>
    </row>
    <row r="80">
      <c r="A80" s="14"/>
      <c r="B80" s="24"/>
      <c r="C80" s="24"/>
      <c r="D80" s="17" t="s">
        <v>16</v>
      </c>
      <c r="E80" s="19" t="s">
        <v>13</v>
      </c>
      <c r="F80" s="18" t="s">
        <v>34</v>
      </c>
      <c r="G80" s="229" t="s">
        <v>24</v>
      </c>
      <c r="H80" s="230"/>
      <c r="J80" s="27" t="s">
        <v>29</v>
      </c>
      <c r="K80" s="43">
        <v>30.0</v>
      </c>
      <c r="L80" s="44" t="s">
        <v>27</v>
      </c>
      <c r="M80" s="30" t="s">
        <v>43</v>
      </c>
      <c r="N80" s="30" t="s">
        <v>26</v>
      </c>
      <c r="O80" s="31" t="s">
        <v>50</v>
      </c>
    </row>
    <row r="81">
      <c r="A81" s="14"/>
      <c r="B81" s="23"/>
      <c r="C81" s="23"/>
      <c r="D81" s="17" t="s">
        <v>20</v>
      </c>
      <c r="E81" s="19" t="s">
        <v>13</v>
      </c>
      <c r="F81" s="18" t="s">
        <v>34</v>
      </c>
      <c r="G81" s="229" t="s">
        <v>24</v>
      </c>
      <c r="H81" s="230"/>
      <c r="J81" s="32"/>
      <c r="K81" s="34"/>
      <c r="L81" s="45"/>
      <c r="M81" s="30"/>
      <c r="N81" s="35"/>
      <c r="O81" s="36"/>
    </row>
    <row r="82">
      <c r="A82" s="14"/>
      <c r="B82" s="25" t="s">
        <v>31</v>
      </c>
      <c r="C82" s="26">
        <v>31.0</v>
      </c>
      <c r="D82" s="17" t="s">
        <v>12</v>
      </c>
      <c r="E82" s="19" t="s">
        <v>13</v>
      </c>
      <c r="F82" s="18" t="s">
        <v>18</v>
      </c>
      <c r="G82" s="231" t="s">
        <v>24</v>
      </c>
      <c r="H82" s="230"/>
      <c r="J82" s="20"/>
      <c r="K82" s="21"/>
      <c r="L82" s="21"/>
      <c r="M82" s="21"/>
      <c r="N82" s="21"/>
      <c r="O82" s="22"/>
    </row>
    <row r="83">
      <c r="A83" s="14"/>
      <c r="B83" s="24"/>
      <c r="C83" s="24"/>
      <c r="D83" s="17" t="s">
        <v>16</v>
      </c>
      <c r="E83" s="19" t="s">
        <v>13</v>
      </c>
      <c r="F83" s="18" t="s">
        <v>18</v>
      </c>
      <c r="G83" s="231" t="s">
        <v>24</v>
      </c>
      <c r="H83" s="230"/>
      <c r="J83" s="27" t="s">
        <v>31</v>
      </c>
      <c r="K83" s="46">
        <v>31.0</v>
      </c>
      <c r="L83" s="44" t="s">
        <v>27</v>
      </c>
      <c r="M83" s="30" t="s">
        <v>30</v>
      </c>
      <c r="N83" s="30" t="s">
        <v>34</v>
      </c>
      <c r="O83" s="31" t="s">
        <v>19</v>
      </c>
    </row>
    <row r="84">
      <c r="A84" s="14"/>
      <c r="B84" s="23"/>
      <c r="C84" s="23"/>
      <c r="D84" s="17" t="s">
        <v>20</v>
      </c>
      <c r="E84" s="19" t="s">
        <v>13</v>
      </c>
      <c r="F84" s="18" t="s">
        <v>18</v>
      </c>
      <c r="G84" s="231" t="s">
        <v>19</v>
      </c>
      <c r="H84" s="230"/>
      <c r="J84" s="32"/>
      <c r="K84" s="45"/>
      <c r="L84" s="45"/>
      <c r="M84" s="30"/>
      <c r="N84" s="35"/>
      <c r="O84" s="36"/>
    </row>
    <row r="85">
      <c r="E85" s="63">
        <f>COUNTIF(E4:E84, "Mira") + Countif(E4:E84, "Tuna")+ Countif(E4:E84, "Gustavo") + Countif(E4:E84, "Pablo")+ Countif(E4:E84, "Tavares") + Countif(E4:E84, "Sobral") + Countif(E4:E84, "Pipo") + Countif(E4:E84, "Nico") + Countif(E4:E84, "Enfermagem") + Countif(E4:E84, "Literatus")+ Countif(E4:E84, "Medicina") + Countif(E4:E84, "Marco Paulo")</f>
        <v>80</v>
      </c>
      <c r="F85" s="63">
        <f>Countif(F4:F84, "Gift") + Countif(F4:F84, "Monte") + Countif(F4:F84, "Sorte") + Countif(F4:F84, "Afonso") + Countif(F4:F84, "Geni") + Countif(F4:F84, "JP")</f>
        <v>80</v>
      </c>
      <c r="G85" s="232">
        <f>COUNTIF(G4:G84, "Apostas") + COUNTIF(G4:G84, "Prodígio") + COUNTIF(G4:G84, "Poço") + COUNTIF(G4:G84, "Pedro")</f>
        <v>81</v>
      </c>
      <c r="H85" s="233">
        <f>COUNTA(H4:H84)</f>
        <v>12</v>
      </c>
      <c r="J85" s="60"/>
      <c r="K85" s="61"/>
      <c r="L85" s="61"/>
      <c r="M85" s="61"/>
      <c r="N85" s="61"/>
      <c r="O85" s="62"/>
    </row>
    <row r="86">
      <c r="M86" s="64">
        <f>COUNTIF(M4:M85, "Mira") + Countif(M4:M85, "Tuna")+ Countif(M4:M85, "Gustavo")+ Countif(M4:M85, "Pablo")+ Countif(M4:M85, "Tavares")+ Countif(M4:M85, "Sobral") + Countif(M4:M85, "Pipo")+ Countif(M4:M85, "Enfermagem")+ Countif(M4:M85, "Literatus")+ Countif(M4:M85, "Medicina")</f>
        <v>14</v>
      </c>
      <c r="N86" s="64">
        <f>COUNTIF(N4:N83, "Gift") + COUNTIF(N4:N83, "Monte") + COUNTIF(N4:N83, "Sorte") + COUNTIF(N4:N83, "Afonso") + COUNTIF(N4:N83, "Geni") + COUNTIF(N4:N83, "JP")</f>
        <v>14</v>
      </c>
      <c r="O86" s="64">
        <f>COUNTIF(O4:O83, "Apostas") + COUNTIF(O4:O83, "Prodígio") + COUNTIF(O4:O83, "Poço") + COUNTIF(O4:O83, "Pedro")</f>
        <v>14</v>
      </c>
    </row>
    <row r="90" ht="22.5" customHeight="1">
      <c r="D90" s="65" t="s">
        <v>36</v>
      </c>
      <c r="E90" s="65" t="s">
        <v>37</v>
      </c>
      <c r="F90" s="65" t="s">
        <v>38</v>
      </c>
      <c r="G90" s="67" t="s">
        <v>39</v>
      </c>
      <c r="H90" s="67" t="s">
        <v>209</v>
      </c>
      <c r="I90" s="67" t="s">
        <v>40</v>
      </c>
      <c r="L90" s="65" t="s">
        <v>36</v>
      </c>
      <c r="M90" s="65" t="s">
        <v>37</v>
      </c>
      <c r="N90" s="65" t="s">
        <v>38</v>
      </c>
      <c r="O90" s="66" t="s">
        <v>39</v>
      </c>
      <c r="P90" s="67" t="s">
        <v>40</v>
      </c>
      <c r="S90" s="68" t="s">
        <v>41</v>
      </c>
    </row>
    <row r="91" ht="22.5" customHeight="1">
      <c r="C91" s="69" t="s">
        <v>42</v>
      </c>
      <c r="D91" s="70" t="s">
        <v>22</v>
      </c>
      <c r="E91" s="71">
        <f>COUNTIF(E3:E84,"Tuna")</f>
        <v>17</v>
      </c>
      <c r="F91" s="72">
        <f t="shared" ref="F91:F110" si="1">((75/3)*E91)</f>
        <v>425</v>
      </c>
      <c r="G91" s="234">
        <f>E85</f>
        <v>80</v>
      </c>
      <c r="H91" s="113">
        <f>countif(H4:H84,"Tuna") * 10</f>
        <v>0</v>
      </c>
      <c r="I91" s="74">
        <f>SUM(F91:F99)</f>
        <v>2025</v>
      </c>
      <c r="K91" s="69" t="s">
        <v>42</v>
      </c>
      <c r="L91" s="70" t="s">
        <v>22</v>
      </c>
      <c r="M91" s="71">
        <f>COUNTIF(M4:M84,"Tuna")</f>
        <v>5</v>
      </c>
      <c r="N91" s="72">
        <f t="shared" ref="N91:N109" si="2">((75/3)*M91)</f>
        <v>125</v>
      </c>
      <c r="O91" s="73">
        <f>SUM(M91:M97)</f>
        <v>15</v>
      </c>
      <c r="P91" s="74">
        <f>SUM(N91:N99)</f>
        <v>400</v>
      </c>
      <c r="R91" s="75" t="s">
        <v>22</v>
      </c>
      <c r="S91" s="76">
        <f t="shared" ref="S91:S110" si="3">SUM(F91,N91)</f>
        <v>550</v>
      </c>
    </row>
    <row r="92" ht="22.5" customHeight="1">
      <c r="C92" s="77"/>
      <c r="D92" s="78" t="s">
        <v>30</v>
      </c>
      <c r="E92" s="79">
        <f>COUNTIF(E3:E84,"Mira")</f>
        <v>22</v>
      </c>
      <c r="F92" s="80">
        <f t="shared" si="1"/>
        <v>550</v>
      </c>
      <c r="G92" s="152"/>
      <c r="H92" s="235">
        <f>countif(H4:H84,"Mira") * 10</f>
        <v>0</v>
      </c>
      <c r="I92" s="82"/>
      <c r="K92" s="77"/>
      <c r="L92" s="78" t="s">
        <v>30</v>
      </c>
      <c r="M92" s="79">
        <f>COUNTIF(M4:M84,"Mira")</f>
        <v>6</v>
      </c>
      <c r="N92" s="80">
        <f t="shared" si="2"/>
        <v>150</v>
      </c>
      <c r="O92" s="81"/>
      <c r="P92" s="82"/>
      <c r="R92" s="83" t="s">
        <v>30</v>
      </c>
      <c r="S92" s="76">
        <f t="shared" si="3"/>
        <v>700</v>
      </c>
    </row>
    <row r="93" ht="22.5" customHeight="1">
      <c r="C93" s="77"/>
      <c r="D93" s="78" t="s">
        <v>13</v>
      </c>
      <c r="E93" s="79">
        <f>COUNTIF(E3:E84,"Pipo")</f>
        <v>34</v>
      </c>
      <c r="F93" s="80">
        <f t="shared" si="1"/>
        <v>850</v>
      </c>
      <c r="G93" s="152"/>
      <c r="H93" s="235">
        <f>countif(H4:H84,"Pipo") * 10</f>
        <v>0</v>
      </c>
      <c r="I93" s="82"/>
      <c r="K93" s="77"/>
      <c r="L93" s="78" t="s">
        <v>13</v>
      </c>
      <c r="M93" s="79">
        <f>COUNTIF(M4:M84,"Pipo")</f>
        <v>2</v>
      </c>
      <c r="N93" s="84">
        <f t="shared" si="2"/>
        <v>50</v>
      </c>
      <c r="O93" s="81"/>
      <c r="P93" s="82"/>
      <c r="R93" s="83" t="s">
        <v>13</v>
      </c>
      <c r="S93" s="76">
        <f t="shared" si="3"/>
        <v>900</v>
      </c>
    </row>
    <row r="94" ht="22.5" customHeight="1">
      <c r="C94" s="77"/>
      <c r="D94" s="85" t="s">
        <v>43</v>
      </c>
      <c r="E94" s="88">
        <f>COUNTIF(E3:E84,"Pablo")</f>
        <v>0</v>
      </c>
      <c r="F94" s="89">
        <f t="shared" si="1"/>
        <v>0</v>
      </c>
      <c r="G94" s="152"/>
      <c r="H94" s="235">
        <f>countif(H4:H84,"Pablo") * 10</f>
        <v>0</v>
      </c>
      <c r="I94" s="82"/>
      <c r="K94" s="77"/>
      <c r="L94" s="85" t="s">
        <v>43</v>
      </c>
      <c r="M94" s="88">
        <f>COUNTIF(M24:M84,"Pablo")</f>
        <v>1</v>
      </c>
      <c r="N94" s="89">
        <f t="shared" si="2"/>
        <v>25</v>
      </c>
      <c r="O94" s="81"/>
      <c r="P94" s="82"/>
      <c r="R94" s="90" t="s">
        <v>43</v>
      </c>
      <c r="S94" s="76">
        <f t="shared" si="3"/>
        <v>25</v>
      </c>
    </row>
    <row r="95" ht="22.5" customHeight="1">
      <c r="C95" s="77"/>
      <c r="D95" s="85" t="s">
        <v>44</v>
      </c>
      <c r="E95" s="88">
        <f>COUNTIF(E3:E84,"Tavares")</f>
        <v>6</v>
      </c>
      <c r="F95" s="89">
        <f t="shared" si="1"/>
        <v>150</v>
      </c>
      <c r="G95" s="152"/>
      <c r="H95" s="235">
        <f>countif(H4:H84,"Tavares") * 10</f>
        <v>0</v>
      </c>
      <c r="I95" s="82"/>
      <c r="K95" s="77"/>
      <c r="L95" s="85" t="s">
        <v>44</v>
      </c>
      <c r="M95" s="88">
        <f>COUNTIF(M4:M84,"Tavares")</f>
        <v>0</v>
      </c>
      <c r="N95" s="89">
        <f t="shared" si="2"/>
        <v>0</v>
      </c>
      <c r="O95" s="81"/>
      <c r="P95" s="82"/>
      <c r="R95" s="90" t="s">
        <v>44</v>
      </c>
      <c r="S95" s="76">
        <f t="shared" si="3"/>
        <v>150</v>
      </c>
    </row>
    <row r="96" ht="22.5" customHeight="1">
      <c r="C96" s="77"/>
      <c r="D96" s="85" t="s">
        <v>45</v>
      </c>
      <c r="E96" s="88">
        <f>COUNTIF(E3:E84,"Guilherme")</f>
        <v>1</v>
      </c>
      <c r="F96" s="89">
        <f t="shared" si="1"/>
        <v>25</v>
      </c>
      <c r="G96" s="152"/>
      <c r="H96" s="235">
        <f>countif(H4:H84,"Guilherme") * 10</f>
        <v>0</v>
      </c>
      <c r="I96" s="82"/>
      <c r="K96" s="77"/>
      <c r="L96" s="85" t="s">
        <v>45</v>
      </c>
      <c r="M96" s="88">
        <f>COUNTIF(M4:M84,"Guilherme")</f>
        <v>1</v>
      </c>
      <c r="N96" s="89">
        <f t="shared" si="2"/>
        <v>25</v>
      </c>
      <c r="O96" s="81"/>
      <c r="P96" s="82"/>
      <c r="R96" s="90" t="s">
        <v>45</v>
      </c>
      <c r="S96" s="76">
        <f t="shared" si="3"/>
        <v>50</v>
      </c>
    </row>
    <row r="97" ht="22.5" customHeight="1">
      <c r="C97" s="77"/>
      <c r="D97" s="85" t="s">
        <v>46</v>
      </c>
      <c r="E97" s="86">
        <f>COUNTIF(E3:E84,"Tomás")</f>
        <v>0</v>
      </c>
      <c r="F97" s="87">
        <f t="shared" si="1"/>
        <v>0</v>
      </c>
      <c r="G97" s="152"/>
      <c r="H97" s="235">
        <f>countif(H4:H84,"Tomás") * 10</f>
        <v>0</v>
      </c>
      <c r="I97" s="82"/>
      <c r="K97" s="77"/>
      <c r="L97" s="236" t="s">
        <v>46</v>
      </c>
      <c r="M97" s="237">
        <f>COUNTIF(M4:M84,"Tomás")</f>
        <v>0</v>
      </c>
      <c r="N97" s="238">
        <f t="shared" si="2"/>
        <v>0</v>
      </c>
      <c r="O97" s="81"/>
      <c r="P97" s="82"/>
      <c r="R97" s="97" t="s">
        <v>46</v>
      </c>
      <c r="S97" s="76">
        <f t="shared" si="3"/>
        <v>0</v>
      </c>
    </row>
    <row r="98" ht="22.5" customHeight="1">
      <c r="C98" s="77"/>
      <c r="D98" s="236" t="s">
        <v>207</v>
      </c>
      <c r="E98" s="237">
        <f>COUNTIF(E4:E85,"Sobral")</f>
        <v>1</v>
      </c>
      <c r="F98" s="238">
        <f t="shared" si="1"/>
        <v>25</v>
      </c>
      <c r="G98" s="152"/>
      <c r="H98" s="235">
        <f>countif(H4:H84,"Sobral") * 10</f>
        <v>0</v>
      </c>
      <c r="I98" s="82"/>
      <c r="K98" s="77"/>
      <c r="L98" s="85" t="s">
        <v>207</v>
      </c>
      <c r="M98" s="86">
        <f>COUNTIF(M4:M84,"Sobral")</f>
        <v>0</v>
      </c>
      <c r="N98" s="87">
        <f t="shared" si="2"/>
        <v>0</v>
      </c>
      <c r="O98" s="81"/>
      <c r="P98" s="82"/>
      <c r="R98" s="239" t="s">
        <v>207</v>
      </c>
      <c r="S98" s="76">
        <f t="shared" si="3"/>
        <v>25</v>
      </c>
    </row>
    <row r="99" ht="22.5" customHeight="1">
      <c r="C99" s="91"/>
      <c r="D99" s="240" t="s">
        <v>206</v>
      </c>
      <c r="E99" s="241">
        <f>COUNTIF(E4:E85,"Nico")</f>
        <v>0</v>
      </c>
      <c r="F99" s="242">
        <f t="shared" si="1"/>
        <v>0</v>
      </c>
      <c r="G99" s="243"/>
      <c r="H99" s="244">
        <f>countif(H4:H84,"Nico") * 10</f>
        <v>0</v>
      </c>
      <c r="I99" s="96"/>
      <c r="K99" s="91"/>
      <c r="L99" s="222" t="s">
        <v>206</v>
      </c>
      <c r="M99" s="128">
        <f>COUNTIF(M4:M85,"Nico")</f>
        <v>1</v>
      </c>
      <c r="N99" s="129">
        <f t="shared" si="2"/>
        <v>25</v>
      </c>
      <c r="O99" s="95"/>
      <c r="P99" s="96"/>
      <c r="R99" s="239" t="s">
        <v>206</v>
      </c>
      <c r="S99" s="98">
        <f t="shared" si="3"/>
        <v>25</v>
      </c>
    </row>
    <row r="100" ht="22.5" customHeight="1">
      <c r="C100" s="69" t="s">
        <v>47</v>
      </c>
      <c r="D100" s="99" t="s">
        <v>35</v>
      </c>
      <c r="E100" s="100">
        <f>Countif(F3:F84,"Gift")</f>
        <v>9</v>
      </c>
      <c r="F100" s="101">
        <f t="shared" si="1"/>
        <v>225</v>
      </c>
      <c r="G100" s="245">
        <f>F85</f>
        <v>80</v>
      </c>
      <c r="H100" s="102">
        <f>countif(H4:H84,"Guift") * 10</f>
        <v>0</v>
      </c>
      <c r="I100" s="103">
        <f>SUM(F100:F106)</f>
        <v>2025</v>
      </c>
      <c r="K100" s="69" t="s">
        <v>47</v>
      </c>
      <c r="L100" s="99" t="s">
        <v>35</v>
      </c>
      <c r="M100" s="100">
        <f>Countif(N1:N84,"Gift")</f>
        <v>0</v>
      </c>
      <c r="N100" s="101">
        <f t="shared" si="2"/>
        <v>0</v>
      </c>
      <c r="O100" s="102">
        <f t="shared" ref="O100:P100" si="4">SUM(M100:M106)</f>
        <v>14</v>
      </c>
      <c r="P100" s="103">
        <f t="shared" si="4"/>
        <v>350</v>
      </c>
      <c r="R100" s="104" t="s">
        <v>35</v>
      </c>
      <c r="S100" s="105">
        <f t="shared" si="3"/>
        <v>225</v>
      </c>
    </row>
    <row r="101" ht="22.5" customHeight="1">
      <c r="C101" s="77"/>
      <c r="D101" s="99" t="s">
        <v>34</v>
      </c>
      <c r="E101" s="100">
        <f>Countif(F3:F84,"Monte")</f>
        <v>20</v>
      </c>
      <c r="F101" s="101">
        <f t="shared" si="1"/>
        <v>500</v>
      </c>
      <c r="G101" s="246"/>
      <c r="H101" s="102">
        <f>countif(H4:H84,"Monte") * 10</f>
        <v>0</v>
      </c>
      <c r="I101" s="82"/>
      <c r="K101" s="77"/>
      <c r="L101" s="99" t="s">
        <v>34</v>
      </c>
      <c r="M101" s="100">
        <f>Countif(N1:N84,"Monte")</f>
        <v>5</v>
      </c>
      <c r="N101" s="101">
        <f t="shared" si="2"/>
        <v>125</v>
      </c>
      <c r="O101" s="106"/>
      <c r="P101" s="82"/>
      <c r="R101" s="83" t="s">
        <v>34</v>
      </c>
      <c r="S101" s="76">
        <f t="shared" si="3"/>
        <v>625</v>
      </c>
    </row>
    <row r="102" ht="22.5" customHeight="1">
      <c r="C102" s="77"/>
      <c r="D102" s="99" t="s">
        <v>26</v>
      </c>
      <c r="E102" s="100">
        <f>Countif(F3:F84,"Sorte")</f>
        <v>18</v>
      </c>
      <c r="F102" s="101">
        <f t="shared" si="1"/>
        <v>450</v>
      </c>
      <c r="G102" s="246"/>
      <c r="H102" s="102">
        <f>countif(H4:H84,"Sorte") * 10</f>
        <v>0</v>
      </c>
      <c r="I102" s="82"/>
      <c r="K102" s="77"/>
      <c r="L102" s="99" t="s">
        <v>26</v>
      </c>
      <c r="M102" s="100">
        <f>Countif(N1:N84,"Sorte")</f>
        <v>7</v>
      </c>
      <c r="N102" s="101">
        <f t="shared" si="2"/>
        <v>175</v>
      </c>
      <c r="O102" s="106"/>
      <c r="P102" s="82"/>
      <c r="R102" s="83" t="s">
        <v>26</v>
      </c>
      <c r="S102" s="76">
        <f t="shared" si="3"/>
        <v>625</v>
      </c>
    </row>
    <row r="103" ht="22.5" customHeight="1">
      <c r="C103" s="77"/>
      <c r="D103" s="99" t="s">
        <v>14</v>
      </c>
      <c r="E103" s="100">
        <f>Countif(F3:F84,"Afonso")</f>
        <v>10</v>
      </c>
      <c r="F103" s="101">
        <f t="shared" si="1"/>
        <v>250</v>
      </c>
      <c r="G103" s="246"/>
      <c r="H103" s="102">
        <f>countif(H4:H84,"Afonso") * 10</f>
        <v>0</v>
      </c>
      <c r="I103" s="82"/>
      <c r="K103" s="77"/>
      <c r="L103" s="99" t="s">
        <v>14</v>
      </c>
      <c r="M103" s="100">
        <f>Countif(N1:N84,"Afonso")</f>
        <v>0</v>
      </c>
      <c r="N103" s="101">
        <f t="shared" si="2"/>
        <v>0</v>
      </c>
      <c r="O103" s="106"/>
      <c r="P103" s="82"/>
      <c r="R103" s="83" t="s">
        <v>14</v>
      </c>
      <c r="S103" s="76">
        <f t="shared" si="3"/>
        <v>250</v>
      </c>
    </row>
    <row r="104" ht="22.5" customHeight="1">
      <c r="C104" s="77"/>
      <c r="D104" s="99" t="s">
        <v>18</v>
      </c>
      <c r="E104" s="107">
        <f>Countif(F3:F84,"Geni")</f>
        <v>23</v>
      </c>
      <c r="F104" s="108">
        <f t="shared" si="1"/>
        <v>575</v>
      </c>
      <c r="G104" s="246"/>
      <c r="H104" s="102">
        <f>countif(H4:H84,"Geni") * 10</f>
        <v>0</v>
      </c>
      <c r="I104" s="82"/>
      <c r="K104" s="77"/>
      <c r="L104" s="99" t="s">
        <v>18</v>
      </c>
      <c r="M104" s="100">
        <f>Countif(N1:N84,"Geni")</f>
        <v>2</v>
      </c>
      <c r="N104" s="101">
        <f t="shared" si="2"/>
        <v>50</v>
      </c>
      <c r="O104" s="106"/>
      <c r="P104" s="82"/>
      <c r="R104" s="83" t="s">
        <v>18</v>
      </c>
      <c r="S104" s="76">
        <f t="shared" si="3"/>
        <v>625</v>
      </c>
    </row>
    <row r="105" ht="22.5" customHeight="1">
      <c r="C105" s="77"/>
      <c r="D105" s="99" t="s">
        <v>208</v>
      </c>
      <c r="E105" s="107">
        <f>Countif(F4:F85,"Eusébio")</f>
        <v>1</v>
      </c>
      <c r="F105" s="108">
        <f t="shared" si="1"/>
        <v>25</v>
      </c>
      <c r="G105" s="246"/>
      <c r="H105" s="102">
        <f>countif(H5:H85,"Eusébio") * 10</f>
        <v>0</v>
      </c>
      <c r="I105" s="82"/>
      <c r="K105" s="77"/>
      <c r="L105" s="99" t="s">
        <v>208</v>
      </c>
      <c r="M105" s="100">
        <f>Countif(N2:N85,"Eusébio")</f>
        <v>0</v>
      </c>
      <c r="N105" s="101">
        <f t="shared" si="2"/>
        <v>0</v>
      </c>
      <c r="O105" s="106"/>
      <c r="P105" s="82"/>
      <c r="R105" s="247" t="s">
        <v>208</v>
      </c>
      <c r="S105" s="76">
        <f t="shared" si="3"/>
        <v>25</v>
      </c>
    </row>
    <row r="106" ht="22.5" customHeight="1">
      <c r="C106" s="91"/>
      <c r="D106" s="92" t="s">
        <v>48</v>
      </c>
      <c r="E106" s="86">
        <f>Countif(F3:F84,"JP")</f>
        <v>0</v>
      </c>
      <c r="F106" s="87">
        <f t="shared" si="1"/>
        <v>0</v>
      </c>
      <c r="G106" s="246"/>
      <c r="H106" s="248" t="s">
        <v>28</v>
      </c>
      <c r="I106" s="82"/>
      <c r="K106" s="91"/>
      <c r="L106" s="92" t="s">
        <v>48</v>
      </c>
      <c r="M106" s="93">
        <f>Countif(N1:N80,"JP")</f>
        <v>0</v>
      </c>
      <c r="N106" s="94">
        <f t="shared" si="2"/>
        <v>0</v>
      </c>
      <c r="O106" s="106"/>
      <c r="P106" s="82"/>
      <c r="R106" s="97" t="s">
        <v>48</v>
      </c>
      <c r="S106" s="98">
        <f t="shared" si="3"/>
        <v>0</v>
      </c>
    </row>
    <row r="107" ht="22.5" customHeight="1">
      <c r="C107" s="69" t="s">
        <v>49</v>
      </c>
      <c r="D107" s="114" t="s">
        <v>19</v>
      </c>
      <c r="E107" s="115">
        <f>Countif(G3:G84,"Apostas")</f>
        <v>38</v>
      </c>
      <c r="F107" s="112">
        <f t="shared" si="1"/>
        <v>950</v>
      </c>
      <c r="G107" s="234">
        <f>G85</f>
        <v>81</v>
      </c>
      <c r="H107" s="113">
        <f>countif(H4:H84,"Apostas") * 10</f>
        <v>0</v>
      </c>
      <c r="I107" s="74">
        <f>SUM(F107:F110)</f>
        <v>2025</v>
      </c>
      <c r="K107" s="69" t="s">
        <v>49</v>
      </c>
      <c r="L107" s="114" t="s">
        <v>19</v>
      </c>
      <c r="M107" s="115">
        <f>Countif(O1:O84,"Apostas")</f>
        <v>8</v>
      </c>
      <c r="N107" s="112">
        <f t="shared" si="2"/>
        <v>200</v>
      </c>
      <c r="O107" s="73">
        <f t="shared" ref="O107:P107" si="5">SUM(M107:M110)</f>
        <v>14</v>
      </c>
      <c r="P107" s="74">
        <f t="shared" si="5"/>
        <v>350</v>
      </c>
      <c r="R107" s="104" t="s">
        <v>19</v>
      </c>
      <c r="S107" s="105">
        <f t="shared" si="3"/>
        <v>1150</v>
      </c>
    </row>
    <row r="108" ht="22.5" customHeight="1">
      <c r="C108" s="77"/>
      <c r="D108" s="120" t="s">
        <v>15</v>
      </c>
      <c r="E108" s="121">
        <f>Countif(G3:G84,"Prodígio")</f>
        <v>33</v>
      </c>
      <c r="F108" s="119">
        <f t="shared" si="1"/>
        <v>825</v>
      </c>
      <c r="G108" s="152"/>
      <c r="H108" s="235">
        <f>countif(H4:H84,"Prodígio") * 10</f>
        <v>0</v>
      </c>
      <c r="I108" s="82"/>
      <c r="K108" s="77"/>
      <c r="L108" s="120" t="s">
        <v>15</v>
      </c>
      <c r="M108" s="121">
        <f>Countif(O1:O84,"Prodígio")</f>
        <v>5</v>
      </c>
      <c r="N108" s="119">
        <f t="shared" si="2"/>
        <v>125</v>
      </c>
      <c r="O108" s="81"/>
      <c r="P108" s="82"/>
      <c r="R108" s="83" t="s">
        <v>15</v>
      </c>
      <c r="S108" s="76">
        <f t="shared" si="3"/>
        <v>950</v>
      </c>
    </row>
    <row r="109" ht="22.5" customHeight="1">
      <c r="C109" s="77"/>
      <c r="D109" s="85" t="s">
        <v>50</v>
      </c>
      <c r="E109" s="86">
        <f>Countif(G1:G84,"Poço")</f>
        <v>0</v>
      </c>
      <c r="F109" s="89">
        <f t="shared" si="1"/>
        <v>0</v>
      </c>
      <c r="G109" s="152"/>
      <c r="H109" s="235">
        <f>countif(H4:H84,"Poço") * 10</f>
        <v>0</v>
      </c>
      <c r="I109" s="82"/>
      <c r="K109" s="77"/>
      <c r="L109" s="85" t="s">
        <v>50</v>
      </c>
      <c r="M109" s="86">
        <f>Countif(O1:O84,"Poço")</f>
        <v>1</v>
      </c>
      <c r="N109" s="89">
        <f t="shared" si="2"/>
        <v>25</v>
      </c>
      <c r="O109" s="81"/>
      <c r="P109" s="82"/>
      <c r="R109" s="90" t="s">
        <v>50</v>
      </c>
      <c r="S109" s="76">
        <f t="shared" si="3"/>
        <v>25</v>
      </c>
    </row>
    <row r="110" ht="22.5" customHeight="1">
      <c r="C110" s="91"/>
      <c r="D110" s="222" t="s">
        <v>24</v>
      </c>
      <c r="E110" s="128">
        <f>Countif(G2:G84,"Pedro")</f>
        <v>10</v>
      </c>
      <c r="F110" s="129">
        <f t="shared" si="1"/>
        <v>250</v>
      </c>
      <c r="G110" s="161"/>
      <c r="H110" s="249">
        <f>countif(H4:H84,"Pedro") * 10</f>
        <v>0</v>
      </c>
      <c r="I110" s="127"/>
      <c r="K110" s="91"/>
      <c r="L110" s="222" t="s">
        <v>24</v>
      </c>
      <c r="M110" s="128">
        <f>Countif(O2:O84,"Pedro")</f>
        <v>0</v>
      </c>
      <c r="N110" s="129">
        <f>((75/3)*M110)</f>
        <v>0</v>
      </c>
      <c r="O110" s="130"/>
      <c r="P110" s="127"/>
      <c r="R110" s="131" t="s">
        <v>24</v>
      </c>
      <c r="S110" s="76">
        <f t="shared" si="3"/>
        <v>250</v>
      </c>
    </row>
    <row r="111">
      <c r="I111" s="132">
        <f>SUM(I91:I110)</f>
        <v>6075</v>
      </c>
      <c r="P111" s="132">
        <f>SUM(P91:P109)</f>
        <v>1100</v>
      </c>
      <c r="R111" s="133"/>
      <c r="S111" s="134">
        <f>SUM(I111+P111)</f>
        <v>7175</v>
      </c>
    </row>
    <row r="112">
      <c r="I112" s="135"/>
      <c r="P112" s="135"/>
      <c r="R112" s="133"/>
      <c r="S112" s="135"/>
    </row>
    <row r="115" ht="22.5" customHeight="1">
      <c r="D115" s="136" t="s">
        <v>36</v>
      </c>
      <c r="E115" s="136" t="s">
        <v>37</v>
      </c>
      <c r="F115" s="136" t="s">
        <v>38</v>
      </c>
      <c r="G115" s="137" t="s">
        <v>40</v>
      </c>
      <c r="H115" s="250"/>
      <c r="K115" s="138" t="s">
        <v>6</v>
      </c>
      <c r="L115" s="100" t="s">
        <v>51</v>
      </c>
      <c r="R115" s="139" t="s">
        <v>52</v>
      </c>
    </row>
    <row r="116" ht="22.5" customHeight="1">
      <c r="C116" s="140" t="s">
        <v>53</v>
      </c>
      <c r="D116" s="141" t="s">
        <v>54</v>
      </c>
      <c r="E116" s="142">
        <f>COUNTIF(E38:E84,"Medicina")</f>
        <v>0</v>
      </c>
      <c r="F116" s="143">
        <f t="shared" ref="F116:F118" si="6">((60/3)*E116)</f>
        <v>0</v>
      </c>
      <c r="G116" s="144">
        <f>SUM(F116:F118)</f>
        <v>0</v>
      </c>
      <c r="H116" s="251"/>
      <c r="K116" s="145" t="s">
        <v>55</v>
      </c>
      <c r="L116" s="146">
        <v>20.0</v>
      </c>
      <c r="Q116" s="147"/>
      <c r="R116" s="223" t="s">
        <v>56</v>
      </c>
      <c r="S116" s="224"/>
    </row>
    <row r="117" ht="22.5" customHeight="1">
      <c r="C117" s="116"/>
      <c r="D117" s="150" t="s">
        <v>57</v>
      </c>
      <c r="E117" s="88">
        <f>COUNTIF(E38:E84,"Literatus")</f>
        <v>0</v>
      </c>
      <c r="F117" s="151">
        <f t="shared" si="6"/>
        <v>0</v>
      </c>
      <c r="G117" s="152"/>
      <c r="H117" s="251"/>
      <c r="K117" s="153" t="s">
        <v>58</v>
      </c>
      <c r="L117" s="154">
        <v>20.0</v>
      </c>
      <c r="Q117" s="155"/>
      <c r="R117" s="225" t="s">
        <v>59</v>
      </c>
      <c r="S117" s="226"/>
    </row>
    <row r="118" ht="22.5" customHeight="1">
      <c r="C118" s="124"/>
      <c r="D118" s="158" t="s">
        <v>60</v>
      </c>
      <c r="E118" s="159">
        <f>COUNTIF(E38:E84,"Enfermagem")</f>
        <v>0</v>
      </c>
      <c r="F118" s="160">
        <f t="shared" si="6"/>
        <v>0</v>
      </c>
      <c r="G118" s="161"/>
      <c r="H118" s="251"/>
      <c r="K118" s="153" t="s">
        <v>61</v>
      </c>
      <c r="L118" s="154">
        <v>20.0</v>
      </c>
      <c r="Q118" s="162"/>
      <c r="R118" s="225" t="s">
        <v>62</v>
      </c>
      <c r="S118" s="226"/>
    </row>
    <row r="119" ht="22.5" customHeight="1">
      <c r="G119" s="163">
        <f>SUM(G116:G118)</f>
        <v>0</v>
      </c>
      <c r="H119" s="252"/>
      <c r="K119" s="164" t="s">
        <v>63</v>
      </c>
      <c r="L119" s="165">
        <v>20.0</v>
      </c>
      <c r="Q119" s="166"/>
      <c r="R119" s="223" t="s">
        <v>64</v>
      </c>
      <c r="S119" s="224"/>
    </row>
    <row r="120">
      <c r="G120" s="161"/>
      <c r="H120" s="252"/>
      <c r="Q120" s="167" t="s">
        <v>65</v>
      </c>
      <c r="R120" s="225" t="s">
        <v>66</v>
      </c>
      <c r="S120" s="226"/>
    </row>
    <row r="121">
      <c r="Q121" s="168" t="s">
        <v>65</v>
      </c>
      <c r="R121" s="225" t="s">
        <v>202</v>
      </c>
      <c r="S121" s="226"/>
    </row>
    <row r="122">
      <c r="Q122" s="169" t="s">
        <v>28</v>
      </c>
      <c r="R122" s="225" t="s">
        <v>203</v>
      </c>
      <c r="S122" s="226"/>
    </row>
    <row r="123">
      <c r="Q123" s="170"/>
      <c r="R123" s="225" t="s">
        <v>69</v>
      </c>
      <c r="S123" s="226"/>
    </row>
    <row r="124">
      <c r="Q124" s="171" t="s">
        <v>65</v>
      </c>
      <c r="R124" s="225" t="s">
        <v>68</v>
      </c>
      <c r="S124" s="226"/>
    </row>
    <row r="125">
      <c r="Q125" s="172">
        <v>46.0</v>
      </c>
      <c r="R125" s="225" t="s">
        <v>71</v>
      </c>
      <c r="S125" s="226"/>
    </row>
  </sheetData>
  <mergeCells count="136">
    <mergeCell ref="C17:C18"/>
    <mergeCell ref="C19:C20"/>
    <mergeCell ref="C21:C23"/>
    <mergeCell ref="C24:C26"/>
    <mergeCell ref="C27:C29"/>
    <mergeCell ref="C30:C31"/>
    <mergeCell ref="C32:C34"/>
    <mergeCell ref="C35:C37"/>
    <mergeCell ref="C38:C39"/>
    <mergeCell ref="B40:B42"/>
    <mergeCell ref="C40:C42"/>
    <mergeCell ref="B43:B45"/>
    <mergeCell ref="C43:C45"/>
    <mergeCell ref="C46:C48"/>
    <mergeCell ref="B64:B66"/>
    <mergeCell ref="B67:B68"/>
    <mergeCell ref="B69:B70"/>
    <mergeCell ref="B71:B73"/>
    <mergeCell ref="B74:B75"/>
    <mergeCell ref="B76:B78"/>
    <mergeCell ref="B79:B81"/>
    <mergeCell ref="B82:B84"/>
    <mergeCell ref="B46:B48"/>
    <mergeCell ref="B49:B50"/>
    <mergeCell ref="B51:B53"/>
    <mergeCell ref="B54:B55"/>
    <mergeCell ref="B56:B57"/>
    <mergeCell ref="B58:B60"/>
    <mergeCell ref="B61:B63"/>
    <mergeCell ref="C49:C50"/>
    <mergeCell ref="C51:C53"/>
    <mergeCell ref="C54:C55"/>
    <mergeCell ref="C56:C57"/>
    <mergeCell ref="C58:C60"/>
    <mergeCell ref="C61:C63"/>
    <mergeCell ref="C64:C66"/>
    <mergeCell ref="C91:C99"/>
    <mergeCell ref="C100:C106"/>
    <mergeCell ref="C107:C110"/>
    <mergeCell ref="C116:C118"/>
    <mergeCell ref="C67:C68"/>
    <mergeCell ref="C69:C70"/>
    <mergeCell ref="C71:C73"/>
    <mergeCell ref="C74:C75"/>
    <mergeCell ref="C76:C78"/>
    <mergeCell ref="C79:C81"/>
    <mergeCell ref="C82:C84"/>
    <mergeCell ref="B1:C1"/>
    <mergeCell ref="B2:G2"/>
    <mergeCell ref="K2:L2"/>
    <mergeCell ref="J3:O3"/>
    <mergeCell ref="B4:B6"/>
    <mergeCell ref="C4:C6"/>
    <mergeCell ref="J4:J5"/>
    <mergeCell ref="B7:B9"/>
    <mergeCell ref="C7:C9"/>
    <mergeCell ref="B10:B12"/>
    <mergeCell ref="C10:C12"/>
    <mergeCell ref="B13:B14"/>
    <mergeCell ref="C13:C14"/>
    <mergeCell ref="C15:C16"/>
    <mergeCell ref="K4:K5"/>
    <mergeCell ref="L4:L5"/>
    <mergeCell ref="J7:J8"/>
    <mergeCell ref="K7:K8"/>
    <mergeCell ref="L7:L8"/>
    <mergeCell ref="K10:K11"/>
    <mergeCell ref="L10:L11"/>
    <mergeCell ref="J10:J11"/>
    <mergeCell ref="J21:J22"/>
    <mergeCell ref="K21:K22"/>
    <mergeCell ref="L21:L22"/>
    <mergeCell ref="J24:J25"/>
    <mergeCell ref="K24:K25"/>
    <mergeCell ref="L24:L25"/>
    <mergeCell ref="B32:B34"/>
    <mergeCell ref="B35:B37"/>
    <mergeCell ref="B38:B39"/>
    <mergeCell ref="B15:B16"/>
    <mergeCell ref="B17:B18"/>
    <mergeCell ref="B19:B20"/>
    <mergeCell ref="B21:B23"/>
    <mergeCell ref="B24:B26"/>
    <mergeCell ref="B27:B29"/>
    <mergeCell ref="B30:B31"/>
    <mergeCell ref="J47:J48"/>
    <mergeCell ref="K47:K48"/>
    <mergeCell ref="L47:L48"/>
    <mergeCell ref="O91:O99"/>
    <mergeCell ref="O100:O106"/>
    <mergeCell ref="O107:O110"/>
    <mergeCell ref="P107:P110"/>
    <mergeCell ref="P111:P112"/>
    <mergeCell ref="S111:S112"/>
    <mergeCell ref="R115:S115"/>
    <mergeCell ref="K83:K84"/>
    <mergeCell ref="L83:L84"/>
    <mergeCell ref="G91:G99"/>
    <mergeCell ref="K91:K99"/>
    <mergeCell ref="P91:P99"/>
    <mergeCell ref="K100:K106"/>
    <mergeCell ref="P100:P106"/>
    <mergeCell ref="K44:K45"/>
    <mergeCell ref="L44:L45"/>
    <mergeCell ref="J27:J28"/>
    <mergeCell ref="K27:K28"/>
    <mergeCell ref="L27:L28"/>
    <mergeCell ref="J41:J42"/>
    <mergeCell ref="K41:K42"/>
    <mergeCell ref="L41:L42"/>
    <mergeCell ref="J44:J45"/>
    <mergeCell ref="K65:K66"/>
    <mergeCell ref="L65:L66"/>
    <mergeCell ref="J59:J60"/>
    <mergeCell ref="K59:K60"/>
    <mergeCell ref="L59:L60"/>
    <mergeCell ref="J62:J63"/>
    <mergeCell ref="K62:K63"/>
    <mergeCell ref="L62:L63"/>
    <mergeCell ref="J65:J66"/>
    <mergeCell ref="J77:J78"/>
    <mergeCell ref="K77:K78"/>
    <mergeCell ref="L77:L78"/>
    <mergeCell ref="J80:J81"/>
    <mergeCell ref="K80:K81"/>
    <mergeCell ref="L80:L81"/>
    <mergeCell ref="J83:J84"/>
    <mergeCell ref="I91:I99"/>
    <mergeCell ref="I100:I106"/>
    <mergeCell ref="I107:I110"/>
    <mergeCell ref="K107:K110"/>
    <mergeCell ref="I111:I112"/>
    <mergeCell ref="G100:G106"/>
    <mergeCell ref="G107:G110"/>
    <mergeCell ref="G116:G118"/>
    <mergeCell ref="G119:G120"/>
  </mergeCells>
  <conditionalFormatting sqref="C115">
    <cfRule type="notContainsBlanks" dxfId="7" priority="1">
      <formula>LEN(TRIM(C115))&gt;0</formula>
    </cfRule>
  </conditionalFormatting>
  <dataValidations>
    <dataValidation type="list" allowBlank="1" showErrorMessage="1" sqref="E6:E9 E15 M21 E21:E26 E79:E84">
      <formula1>"Tuna,Pipo,Mira,Pablo,Gustavo,Tavares,Tomás,Nico,Sobral,Medicina,Literatus,Enfermagem,-"</formula1>
    </dataValidation>
    <dataValidation type="list" allowBlank="1" showErrorMessage="1" sqref="O4 G4:G6 O7 O10 G10:G20 O21 G23 O24 O27 G27:G34 G38:G39 O41 O44 O47 G49:G53 O59 G56:G60 O62 O65 G64:G70 G74:G75 O77 O80 O83">
      <formula1>"Apostas,Prodígio,Poço,Pedro,-"</formula1>
    </dataValidation>
    <dataValidation type="list" allowBlank="1" showErrorMessage="1" sqref="M4:M5 M7:M8 M10:M11 M22 M24:M25 M27:M28 M41:M42 M44:M45 M47:M48 M59:M60 M62:M63 M65:M66 M77:M78 M80:M81 M83:M84">
      <formula1>"Tuna,Gustavo,Mira,Pablo,Tavares,Pipo,Guilherme,Sobral,Nico,Medicina,Literatus,Enfermagem,-"</formula1>
    </dataValidation>
    <dataValidation type="list" allowBlank="1" showErrorMessage="1" sqref="E10:E12 E27:E29 E61:E63">
      <formula1>"Tuna,Pipo,Mira,Pablo,Tavares,Gustavo,Sobral,Medicina,Literatus,Enfermagem,-"</formula1>
    </dataValidation>
    <dataValidation type="list" allowBlank="1" showErrorMessage="1" sqref="Q120">
      <formula1>"Nome"</formula1>
    </dataValidation>
    <dataValidation type="list" allowBlank="1" showErrorMessage="1" sqref="L4 L10 L21 L27 L41 L47 L59 L65 L77 L83">
      <formula1>"17h00,19h00,17h30"</formula1>
    </dataValidation>
    <dataValidation type="list" allowBlank="1" showErrorMessage="1" sqref="L7 L24 L44 L62 L80">
      <formula1>"17h30,19h00,18h30"</formula1>
    </dataValidation>
    <dataValidation type="list" allowBlank="1" showErrorMessage="1" sqref="N4 N7 N10 N21 N24 N27 N41 N44 N47 N59 N62 N65 N77 N80 N83 F4:F84">
      <formula1>"Gift,Monte,Sorte,Afonso,Geni,JP,Eusébio,-"</formula1>
    </dataValidation>
    <dataValidation type="list" allowBlank="1" showErrorMessage="1" sqref="E4:E5 E13:E14 E16:E20 E30:E60 E64:E78">
      <formula1>"Tuna,Pipo,Mira,Pablo,Gustavo,Tavares,Guilherme,Sobral,Medicina,Literatus,Enfermagem,-"</formula1>
    </dataValidation>
    <dataValidation type="list" allowBlank="1" showErrorMessage="1" sqref="Q122">
      <formula1>"-"</formula1>
    </dataValidation>
    <dataValidation type="list" allowBlank="1" showErrorMessage="1" sqref="D4:D84">
      <formula1>"16h00,19h00,18h00,19h30,21h00,21h15,21h30"</formula1>
    </dataValidation>
    <dataValidation type="list" allowBlank="1" showErrorMessage="1" sqref="Q121">
      <formula1>"Nome"</formula1>
    </dataValidation>
    <dataValidation type="list" allowBlank="1" showErrorMessage="1" sqref="Q123">
      <formula1>" -"</formula1>
    </dataValidation>
    <dataValidation type="list" allowBlank="1" showErrorMessage="1" sqref="H4:H84">
      <formula1>"Apostas,Prodígio,Poço,Tuna,Mira,Tavares,Pipo,Gift,Sorte,Afonso,Monte,Geni,-"</formula1>
    </dataValidation>
    <dataValidation type="custom" allowBlank="1" showDropDown="1" sqref="N91:N110 F91:F110 F116:F118 L116:L119">
      <formula1>AND(ISNUMBER(F91),(NOT(OR(NOT(ISERROR(DATEVALUE(F91))), AND(ISNUMBER(F91), LEFT(CELL("format", F91))="D")))))</formula1>
    </dataValidation>
    <dataValidation type="list" allowBlank="1" showErrorMessage="1" sqref="G7:G9 G35:G37 G40:G48 G54:G55 G71:G73">
      <formula1>"Apostas,Prodígio,Poço,Gift,Pedro,-"</formula1>
    </dataValidation>
    <dataValidation type="list" allowBlank="1" showErrorMessage="1" sqref="G21:G22 G24:G26 G61:G63 G76:G84">
      <formula1>"Apostas,Prodígio,Poço,Pedro,Canholas,-"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25"/>
    <col customWidth="1" min="13" max="13" width="13.0"/>
    <col customWidth="1" min="14" max="14" width="14.13"/>
  </cols>
  <sheetData>
    <row r="1">
      <c r="A1" s="1" t="s">
        <v>0</v>
      </c>
      <c r="B1" s="2" t="s">
        <v>1</v>
      </c>
    </row>
    <row r="2">
      <c r="A2" s="3"/>
      <c r="B2" s="4" t="s">
        <v>210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10</v>
      </c>
      <c r="J3" s="12"/>
      <c r="K3" s="12"/>
      <c r="L3" s="12"/>
      <c r="M3" s="12"/>
      <c r="N3" s="13"/>
    </row>
    <row r="4">
      <c r="A4" s="14"/>
      <c r="B4" s="15" t="s">
        <v>21</v>
      </c>
      <c r="C4" s="16">
        <v>1.0</v>
      </c>
      <c r="D4" s="17" t="s">
        <v>12</v>
      </c>
      <c r="E4" s="18" t="s">
        <v>13</v>
      </c>
      <c r="F4" s="19" t="s">
        <v>26</v>
      </c>
      <c r="G4" s="19" t="s">
        <v>19</v>
      </c>
      <c r="I4" s="194"/>
      <c r="J4" s="194"/>
      <c r="K4" s="194"/>
      <c r="L4" s="194"/>
      <c r="M4" s="194"/>
      <c r="N4" s="194"/>
    </row>
    <row r="5">
      <c r="A5" s="14"/>
      <c r="B5" s="23"/>
      <c r="C5" s="23"/>
      <c r="D5" s="17" t="s">
        <v>16</v>
      </c>
      <c r="E5" s="18" t="s">
        <v>30</v>
      </c>
      <c r="F5" s="19" t="s">
        <v>26</v>
      </c>
      <c r="G5" s="19" t="s">
        <v>19</v>
      </c>
      <c r="I5" s="20"/>
      <c r="J5" s="21"/>
      <c r="K5" s="21"/>
      <c r="L5" s="21"/>
      <c r="M5" s="21"/>
      <c r="N5" s="22"/>
    </row>
    <row r="6">
      <c r="A6" s="14"/>
      <c r="B6" s="15" t="s">
        <v>23</v>
      </c>
      <c r="C6" s="16">
        <v>2.0</v>
      </c>
      <c r="D6" s="17" t="s">
        <v>12</v>
      </c>
      <c r="E6" s="18" t="s">
        <v>13</v>
      </c>
      <c r="F6" s="19" t="s">
        <v>26</v>
      </c>
      <c r="G6" s="18" t="s">
        <v>19</v>
      </c>
      <c r="I6" s="49"/>
      <c r="J6" s="50"/>
      <c r="K6" s="40"/>
      <c r="L6" s="40"/>
      <c r="M6" s="51"/>
      <c r="N6" s="42"/>
    </row>
    <row r="7">
      <c r="A7" s="14"/>
      <c r="B7" s="23"/>
      <c r="C7" s="23"/>
      <c r="D7" s="17" t="s">
        <v>16</v>
      </c>
      <c r="E7" s="18" t="s">
        <v>30</v>
      </c>
      <c r="F7" s="19" t="s">
        <v>26</v>
      </c>
      <c r="G7" s="18" t="s">
        <v>19</v>
      </c>
      <c r="I7" s="20"/>
      <c r="J7" s="21"/>
      <c r="K7" s="21"/>
      <c r="L7" s="21"/>
      <c r="M7" s="21"/>
      <c r="N7" s="22"/>
    </row>
    <row r="8">
      <c r="A8" s="14"/>
      <c r="B8" s="25" t="s">
        <v>25</v>
      </c>
      <c r="C8" s="26">
        <v>3.0</v>
      </c>
      <c r="D8" s="17" t="s">
        <v>12</v>
      </c>
      <c r="E8" s="18" t="s">
        <v>13</v>
      </c>
      <c r="F8" s="18" t="s">
        <v>35</v>
      </c>
      <c r="G8" s="18" t="s">
        <v>15</v>
      </c>
      <c r="I8" s="27" t="s">
        <v>25</v>
      </c>
      <c r="J8" s="28">
        <v>3.0</v>
      </c>
      <c r="K8" s="44" t="s">
        <v>27</v>
      </c>
      <c r="L8" s="253" t="s">
        <v>30</v>
      </c>
      <c r="M8" s="253" t="s">
        <v>34</v>
      </c>
      <c r="N8" s="31" t="s">
        <v>19</v>
      </c>
    </row>
    <row r="9">
      <c r="A9" s="14"/>
      <c r="B9" s="24"/>
      <c r="C9" s="24"/>
      <c r="D9" s="17" t="s">
        <v>16</v>
      </c>
      <c r="E9" s="18" t="s">
        <v>13</v>
      </c>
      <c r="F9" s="18" t="s">
        <v>35</v>
      </c>
      <c r="G9" s="18" t="s">
        <v>15</v>
      </c>
      <c r="I9" s="32"/>
      <c r="J9" s="33"/>
      <c r="K9" s="45"/>
      <c r="L9" s="253"/>
      <c r="M9" s="201"/>
      <c r="N9" s="36"/>
    </row>
    <row r="10">
      <c r="A10" s="14"/>
      <c r="B10" s="23"/>
      <c r="C10" s="23"/>
      <c r="D10" s="17" t="s">
        <v>20</v>
      </c>
      <c r="E10" s="18" t="s">
        <v>13</v>
      </c>
      <c r="F10" s="18" t="s">
        <v>35</v>
      </c>
      <c r="G10" s="18" t="s">
        <v>15</v>
      </c>
      <c r="I10" s="52"/>
      <c r="J10" s="53"/>
      <c r="K10" s="54"/>
      <c r="L10" s="40"/>
      <c r="M10" s="41"/>
      <c r="N10" s="42"/>
    </row>
    <row r="11">
      <c r="A11" s="14"/>
      <c r="B11" s="25" t="s">
        <v>29</v>
      </c>
      <c r="C11" s="26">
        <v>4.0</v>
      </c>
      <c r="D11" s="17" t="s">
        <v>12</v>
      </c>
      <c r="E11" s="19" t="s">
        <v>13</v>
      </c>
      <c r="F11" s="18" t="s">
        <v>34</v>
      </c>
      <c r="G11" s="18" t="s">
        <v>15</v>
      </c>
      <c r="I11" s="49"/>
      <c r="J11" s="50"/>
      <c r="K11" s="40"/>
      <c r="L11" s="40"/>
      <c r="M11" s="51"/>
      <c r="N11" s="42"/>
    </row>
    <row r="12">
      <c r="A12" s="14"/>
      <c r="B12" s="24"/>
      <c r="C12" s="24"/>
      <c r="D12" s="17" t="s">
        <v>16</v>
      </c>
      <c r="E12" s="19" t="s">
        <v>13</v>
      </c>
      <c r="F12" s="18" t="s">
        <v>34</v>
      </c>
      <c r="G12" s="18" t="s">
        <v>15</v>
      </c>
      <c r="I12" s="20"/>
      <c r="J12" s="21"/>
      <c r="K12" s="21"/>
      <c r="L12" s="21"/>
      <c r="M12" s="21"/>
      <c r="N12" s="22"/>
    </row>
    <row r="13">
      <c r="A13" s="14"/>
      <c r="B13" s="23"/>
      <c r="C13" s="23"/>
      <c r="D13" s="17" t="s">
        <v>20</v>
      </c>
      <c r="E13" s="19" t="s">
        <v>13</v>
      </c>
      <c r="F13" s="18" t="s">
        <v>34</v>
      </c>
      <c r="G13" s="18" t="s">
        <v>15</v>
      </c>
      <c r="I13" s="20"/>
      <c r="J13" s="21"/>
      <c r="K13" s="21"/>
      <c r="L13" s="21"/>
      <c r="M13" s="21"/>
      <c r="N13" s="22"/>
    </row>
    <row r="14">
      <c r="A14" s="14"/>
      <c r="B14" s="25" t="s">
        <v>31</v>
      </c>
      <c r="C14" s="26">
        <v>5.0</v>
      </c>
      <c r="D14" s="17" t="s">
        <v>12</v>
      </c>
      <c r="E14" s="18" t="s">
        <v>44</v>
      </c>
      <c r="F14" s="18" t="s">
        <v>26</v>
      </c>
      <c r="G14" s="18" t="s">
        <v>19</v>
      </c>
      <c r="I14" s="27" t="s">
        <v>31</v>
      </c>
      <c r="J14" s="46">
        <v>5.0</v>
      </c>
      <c r="K14" s="44" t="s">
        <v>27</v>
      </c>
      <c r="L14" s="30" t="s">
        <v>28</v>
      </c>
      <c r="M14" s="30" t="s">
        <v>28</v>
      </c>
      <c r="N14" s="214" t="s">
        <v>28</v>
      </c>
    </row>
    <row r="15">
      <c r="A15" s="14"/>
      <c r="B15" s="24"/>
      <c r="C15" s="24"/>
      <c r="D15" s="17" t="s">
        <v>16</v>
      </c>
      <c r="E15" s="18" t="s">
        <v>44</v>
      </c>
      <c r="F15" s="18" t="s">
        <v>26</v>
      </c>
      <c r="G15" s="18" t="s">
        <v>19</v>
      </c>
      <c r="I15" s="32"/>
      <c r="J15" s="45"/>
      <c r="K15" s="45"/>
      <c r="L15" s="30"/>
      <c r="M15" s="35"/>
      <c r="N15" s="190"/>
    </row>
    <row r="16">
      <c r="A16" s="14"/>
      <c r="B16" s="23"/>
      <c r="C16" s="23"/>
      <c r="D16" s="17" t="s">
        <v>20</v>
      </c>
      <c r="E16" s="18" t="s">
        <v>13</v>
      </c>
      <c r="F16" s="18" t="s">
        <v>26</v>
      </c>
      <c r="G16" s="18" t="s">
        <v>19</v>
      </c>
      <c r="I16" s="20"/>
      <c r="J16" s="21"/>
      <c r="K16" s="21"/>
      <c r="L16" s="21"/>
      <c r="M16" s="21"/>
      <c r="N16" s="22"/>
    </row>
    <row r="17">
      <c r="A17" s="14"/>
      <c r="B17" s="15" t="s">
        <v>11</v>
      </c>
      <c r="C17" s="16">
        <v>6.0</v>
      </c>
      <c r="D17" s="17" t="s">
        <v>12</v>
      </c>
      <c r="E17" s="18" t="s">
        <v>13</v>
      </c>
      <c r="F17" s="18" t="s">
        <v>35</v>
      </c>
      <c r="G17" s="18" t="s">
        <v>15</v>
      </c>
      <c r="I17" s="20"/>
      <c r="J17" s="21"/>
      <c r="K17" s="21"/>
      <c r="L17" s="21"/>
      <c r="M17" s="21"/>
      <c r="N17" s="22"/>
    </row>
    <row r="18">
      <c r="A18" s="14"/>
      <c r="B18" s="23"/>
      <c r="C18" s="23"/>
      <c r="D18" s="17" t="s">
        <v>16</v>
      </c>
      <c r="E18" s="18" t="s">
        <v>30</v>
      </c>
      <c r="F18" s="19" t="s">
        <v>35</v>
      </c>
      <c r="G18" s="18" t="s">
        <v>15</v>
      </c>
      <c r="I18" s="20"/>
      <c r="J18" s="21"/>
      <c r="K18" s="21"/>
      <c r="L18" s="21"/>
      <c r="M18" s="21"/>
      <c r="N18" s="22"/>
    </row>
    <row r="19">
      <c r="A19" s="14"/>
      <c r="B19" s="15" t="s">
        <v>17</v>
      </c>
      <c r="C19" s="16">
        <v>7.0</v>
      </c>
      <c r="D19" s="17" t="s">
        <v>32</v>
      </c>
      <c r="E19" s="19" t="s">
        <v>44</v>
      </c>
      <c r="F19" s="19" t="s">
        <v>35</v>
      </c>
      <c r="G19" s="19" t="s">
        <v>19</v>
      </c>
      <c r="I19" s="20"/>
      <c r="J19" s="21"/>
      <c r="K19" s="21"/>
      <c r="L19" s="21"/>
      <c r="M19" s="21"/>
      <c r="N19" s="22"/>
    </row>
    <row r="20">
      <c r="A20" s="14"/>
      <c r="B20" s="24"/>
      <c r="C20" s="24"/>
      <c r="D20" s="17" t="s">
        <v>12</v>
      </c>
      <c r="E20" s="18" t="s">
        <v>13</v>
      </c>
      <c r="F20" s="18" t="s">
        <v>35</v>
      </c>
      <c r="G20" s="18" t="s">
        <v>19</v>
      </c>
      <c r="I20" s="20"/>
      <c r="J20" s="21"/>
      <c r="K20" s="21"/>
      <c r="L20" s="21"/>
      <c r="M20" s="21"/>
      <c r="N20" s="22"/>
    </row>
    <row r="21">
      <c r="A21" s="14"/>
      <c r="B21" s="23"/>
      <c r="C21" s="23"/>
      <c r="D21" s="17" t="s">
        <v>16</v>
      </c>
      <c r="E21" s="18" t="s">
        <v>30</v>
      </c>
      <c r="F21" s="18" t="s">
        <v>35</v>
      </c>
      <c r="G21" s="18" t="s">
        <v>19</v>
      </c>
      <c r="I21" s="20"/>
      <c r="J21" s="21"/>
      <c r="K21" s="21"/>
      <c r="L21" s="21"/>
      <c r="M21" s="21"/>
      <c r="N21" s="22"/>
    </row>
    <row r="22">
      <c r="A22" s="14"/>
      <c r="B22" s="15" t="s">
        <v>21</v>
      </c>
      <c r="C22" s="16">
        <v>8.0</v>
      </c>
      <c r="D22" s="17" t="s">
        <v>12</v>
      </c>
      <c r="E22" s="18" t="s">
        <v>13</v>
      </c>
      <c r="F22" s="19" t="s">
        <v>26</v>
      </c>
      <c r="G22" s="18" t="s">
        <v>15</v>
      </c>
      <c r="I22" s="20"/>
      <c r="J22" s="21"/>
      <c r="K22" s="21"/>
      <c r="L22" s="21"/>
      <c r="M22" s="21"/>
      <c r="N22" s="22"/>
    </row>
    <row r="23">
      <c r="A23" s="14"/>
      <c r="B23" s="23"/>
      <c r="C23" s="23"/>
      <c r="D23" s="17" t="s">
        <v>16</v>
      </c>
      <c r="E23" s="18" t="s">
        <v>30</v>
      </c>
      <c r="F23" s="19" t="s">
        <v>26</v>
      </c>
      <c r="G23" s="18" t="s">
        <v>15</v>
      </c>
      <c r="I23" s="20"/>
      <c r="J23" s="21"/>
      <c r="K23" s="21"/>
      <c r="L23" s="21"/>
      <c r="M23" s="21"/>
      <c r="N23" s="22"/>
    </row>
    <row r="24">
      <c r="A24" s="14"/>
      <c r="B24" s="15" t="s">
        <v>23</v>
      </c>
      <c r="C24" s="16">
        <v>9.0</v>
      </c>
      <c r="D24" s="17" t="s">
        <v>12</v>
      </c>
      <c r="E24" s="19" t="s">
        <v>30</v>
      </c>
      <c r="F24" s="18" t="s">
        <v>26</v>
      </c>
      <c r="G24" s="18" t="s">
        <v>15</v>
      </c>
      <c r="I24" s="20"/>
      <c r="J24" s="21"/>
      <c r="K24" s="21"/>
      <c r="L24" s="21"/>
      <c r="M24" s="21"/>
      <c r="N24" s="22"/>
    </row>
    <row r="25">
      <c r="A25" s="14"/>
      <c r="B25" s="23"/>
      <c r="C25" s="23"/>
      <c r="D25" s="17" t="s">
        <v>16</v>
      </c>
      <c r="E25" s="19" t="s">
        <v>30</v>
      </c>
      <c r="F25" s="18" t="s">
        <v>14</v>
      </c>
      <c r="G25" s="18" t="s">
        <v>15</v>
      </c>
      <c r="I25" s="20"/>
      <c r="J25" s="21"/>
      <c r="K25" s="21"/>
      <c r="L25" s="21"/>
      <c r="M25" s="21"/>
      <c r="N25" s="22"/>
    </row>
    <row r="26">
      <c r="A26" s="14"/>
      <c r="B26" s="25" t="s">
        <v>25</v>
      </c>
      <c r="C26" s="26">
        <v>10.0</v>
      </c>
      <c r="D26" s="17" t="s">
        <v>12</v>
      </c>
      <c r="E26" s="18" t="s">
        <v>13</v>
      </c>
      <c r="F26" s="18" t="s">
        <v>34</v>
      </c>
      <c r="G26" s="19" t="s">
        <v>19</v>
      </c>
      <c r="I26" s="27" t="s">
        <v>25</v>
      </c>
      <c r="J26" s="28">
        <v>10.0</v>
      </c>
      <c r="K26" s="44" t="s">
        <v>27</v>
      </c>
      <c r="L26" s="253" t="s">
        <v>30</v>
      </c>
      <c r="M26" s="30" t="s">
        <v>26</v>
      </c>
      <c r="N26" s="31" t="s">
        <v>15</v>
      </c>
    </row>
    <row r="27">
      <c r="A27" s="14"/>
      <c r="B27" s="24"/>
      <c r="C27" s="24"/>
      <c r="D27" s="17" t="s">
        <v>16</v>
      </c>
      <c r="E27" s="18" t="s">
        <v>13</v>
      </c>
      <c r="F27" s="18" t="s">
        <v>34</v>
      </c>
      <c r="G27" s="19" t="s">
        <v>19</v>
      </c>
      <c r="I27" s="32"/>
      <c r="J27" s="33"/>
      <c r="K27" s="45"/>
      <c r="L27" s="253"/>
      <c r="M27" s="201"/>
      <c r="N27" s="36"/>
    </row>
    <row r="28">
      <c r="A28" s="14"/>
      <c r="B28" s="23"/>
      <c r="C28" s="23"/>
      <c r="D28" s="17" t="s">
        <v>20</v>
      </c>
      <c r="E28" s="19" t="s">
        <v>30</v>
      </c>
      <c r="F28" s="18" t="s">
        <v>34</v>
      </c>
      <c r="G28" s="18" t="s">
        <v>19</v>
      </c>
      <c r="I28" s="20"/>
      <c r="J28" s="21"/>
      <c r="K28" s="21"/>
      <c r="L28" s="21"/>
      <c r="M28" s="21"/>
      <c r="N28" s="22"/>
    </row>
    <row r="29">
      <c r="A29" s="14"/>
      <c r="B29" s="25" t="s">
        <v>29</v>
      </c>
      <c r="C29" s="26">
        <v>11.0</v>
      </c>
      <c r="D29" s="17" t="s">
        <v>12</v>
      </c>
      <c r="E29" s="19" t="s">
        <v>30</v>
      </c>
      <c r="F29" s="18" t="s">
        <v>34</v>
      </c>
      <c r="G29" s="18" t="s">
        <v>19</v>
      </c>
      <c r="I29" s="27" t="s">
        <v>29</v>
      </c>
      <c r="J29" s="43">
        <v>11.0</v>
      </c>
      <c r="K29" s="44" t="s">
        <v>27</v>
      </c>
      <c r="L29" s="30"/>
      <c r="M29" s="30"/>
      <c r="N29" s="31"/>
    </row>
    <row r="30">
      <c r="A30" s="14"/>
      <c r="B30" s="24"/>
      <c r="C30" s="24"/>
      <c r="D30" s="17" t="s">
        <v>16</v>
      </c>
      <c r="E30" s="19" t="s">
        <v>30</v>
      </c>
      <c r="F30" s="18" t="s">
        <v>34</v>
      </c>
      <c r="G30" s="18" t="s">
        <v>19</v>
      </c>
      <c r="I30" s="32"/>
      <c r="J30" s="34"/>
      <c r="K30" s="45"/>
      <c r="L30" s="30"/>
      <c r="M30" s="35"/>
      <c r="N30" s="36"/>
    </row>
    <row r="31">
      <c r="A31" s="14"/>
      <c r="B31" s="23"/>
      <c r="C31" s="23"/>
      <c r="D31" s="17" t="s">
        <v>20</v>
      </c>
      <c r="E31" s="19" t="s">
        <v>30</v>
      </c>
      <c r="F31" s="18" t="s">
        <v>34</v>
      </c>
      <c r="G31" s="18" t="s">
        <v>19</v>
      </c>
      <c r="I31" s="20"/>
      <c r="J31" s="21"/>
      <c r="K31" s="21"/>
      <c r="L31" s="21"/>
      <c r="M31" s="21"/>
      <c r="N31" s="22"/>
    </row>
    <row r="32">
      <c r="A32" s="14"/>
      <c r="B32" s="25" t="s">
        <v>31</v>
      </c>
      <c r="C32" s="26">
        <v>12.0</v>
      </c>
      <c r="D32" s="17" t="s">
        <v>12</v>
      </c>
      <c r="E32" s="19" t="s">
        <v>44</v>
      </c>
      <c r="F32" s="18" t="s">
        <v>18</v>
      </c>
      <c r="G32" s="18" t="s">
        <v>19</v>
      </c>
      <c r="I32" s="27" t="s">
        <v>31</v>
      </c>
      <c r="J32" s="46">
        <v>12.0</v>
      </c>
      <c r="K32" s="44" t="s">
        <v>27</v>
      </c>
      <c r="L32" s="30" t="s">
        <v>30</v>
      </c>
      <c r="M32" s="30" t="s">
        <v>34</v>
      </c>
      <c r="N32" s="214" t="s">
        <v>15</v>
      </c>
    </row>
    <row r="33">
      <c r="A33" s="14"/>
      <c r="B33" s="24"/>
      <c r="C33" s="24"/>
      <c r="D33" s="17" t="s">
        <v>16</v>
      </c>
      <c r="E33" s="19" t="s">
        <v>44</v>
      </c>
      <c r="F33" s="18" t="s">
        <v>18</v>
      </c>
      <c r="G33" s="18" t="s">
        <v>19</v>
      </c>
      <c r="I33" s="32"/>
      <c r="J33" s="45"/>
      <c r="K33" s="45"/>
      <c r="L33" s="30"/>
      <c r="M33" s="35"/>
      <c r="N33" s="190"/>
    </row>
    <row r="34">
      <c r="A34" s="14"/>
      <c r="B34" s="23"/>
      <c r="C34" s="23"/>
      <c r="D34" s="17" t="s">
        <v>20</v>
      </c>
      <c r="E34" s="19" t="s">
        <v>30</v>
      </c>
      <c r="F34" s="18" t="s">
        <v>18</v>
      </c>
      <c r="G34" s="18" t="s">
        <v>19</v>
      </c>
      <c r="I34" s="20"/>
      <c r="J34" s="21"/>
      <c r="K34" s="21"/>
      <c r="L34" s="21"/>
      <c r="M34" s="21"/>
      <c r="N34" s="22"/>
    </row>
    <row r="35">
      <c r="A35" s="14"/>
      <c r="B35" s="15" t="s">
        <v>11</v>
      </c>
      <c r="C35" s="16">
        <v>13.0</v>
      </c>
      <c r="D35" s="17" t="s">
        <v>12</v>
      </c>
      <c r="E35" s="18" t="s">
        <v>13</v>
      </c>
      <c r="F35" s="18" t="s">
        <v>18</v>
      </c>
      <c r="G35" s="18" t="s">
        <v>19</v>
      </c>
      <c r="I35" s="20"/>
      <c r="J35" s="21"/>
      <c r="K35" s="21"/>
      <c r="L35" s="21"/>
      <c r="M35" s="21"/>
      <c r="N35" s="22"/>
    </row>
    <row r="36">
      <c r="A36" s="14"/>
      <c r="B36" s="23"/>
      <c r="C36" s="23"/>
      <c r="D36" s="17" t="s">
        <v>16</v>
      </c>
      <c r="E36" s="18" t="s">
        <v>30</v>
      </c>
      <c r="F36" s="18" t="s">
        <v>14</v>
      </c>
      <c r="G36" s="18" t="s">
        <v>19</v>
      </c>
      <c r="I36" s="254"/>
      <c r="J36" s="255"/>
      <c r="K36" s="21"/>
      <c r="L36" s="21"/>
      <c r="M36" s="21"/>
      <c r="N36" s="22"/>
    </row>
    <row r="37">
      <c r="A37" s="14"/>
      <c r="B37" s="15" t="s">
        <v>17</v>
      </c>
      <c r="C37" s="16">
        <v>14.0</v>
      </c>
      <c r="D37" s="17" t="s">
        <v>12</v>
      </c>
      <c r="E37" s="18" t="s">
        <v>13</v>
      </c>
      <c r="F37" s="18" t="s">
        <v>34</v>
      </c>
      <c r="G37" s="18" t="s">
        <v>19</v>
      </c>
      <c r="I37" s="254"/>
      <c r="J37" s="255"/>
      <c r="K37" s="21"/>
      <c r="L37" s="21"/>
      <c r="M37" s="21"/>
      <c r="N37" s="22"/>
    </row>
    <row r="38">
      <c r="A38" s="14"/>
      <c r="B38" s="23"/>
      <c r="C38" s="23"/>
      <c r="D38" s="17" t="s">
        <v>16</v>
      </c>
      <c r="E38" s="18" t="s">
        <v>30</v>
      </c>
      <c r="F38" s="18" t="s">
        <v>14</v>
      </c>
      <c r="G38" s="18" t="s">
        <v>19</v>
      </c>
      <c r="I38" s="256"/>
      <c r="J38" s="257"/>
      <c r="K38" s="21"/>
      <c r="L38" s="21"/>
      <c r="M38" s="21"/>
      <c r="N38" s="22"/>
    </row>
    <row r="39">
      <c r="A39" s="14"/>
      <c r="B39" s="15" t="s">
        <v>21</v>
      </c>
      <c r="C39" s="16">
        <v>15.0</v>
      </c>
      <c r="D39" s="17" t="s">
        <v>12</v>
      </c>
      <c r="E39" s="18" t="s">
        <v>13</v>
      </c>
      <c r="F39" s="18" t="s">
        <v>18</v>
      </c>
      <c r="G39" s="19" t="s">
        <v>15</v>
      </c>
      <c r="I39" s="256"/>
      <c r="J39" s="257"/>
      <c r="K39" s="21"/>
      <c r="L39" s="21"/>
      <c r="M39" s="21"/>
      <c r="N39" s="22"/>
    </row>
    <row r="40">
      <c r="A40" s="14"/>
      <c r="B40" s="23"/>
      <c r="C40" s="23"/>
      <c r="D40" s="17" t="s">
        <v>16</v>
      </c>
      <c r="E40" s="18" t="s">
        <v>30</v>
      </c>
      <c r="F40" s="18" t="s">
        <v>18</v>
      </c>
      <c r="G40" s="19" t="s">
        <v>15</v>
      </c>
      <c r="I40" s="256"/>
      <c r="J40" s="257"/>
      <c r="K40" s="21"/>
      <c r="L40" s="21"/>
      <c r="M40" s="21"/>
      <c r="N40" s="22"/>
    </row>
    <row r="41">
      <c r="A41" s="14"/>
      <c r="B41" s="15" t="s">
        <v>23</v>
      </c>
      <c r="C41" s="16">
        <v>16.0</v>
      </c>
      <c r="D41" s="17" t="s">
        <v>12</v>
      </c>
      <c r="E41" s="18" t="s">
        <v>13</v>
      </c>
      <c r="F41" s="18" t="s">
        <v>18</v>
      </c>
      <c r="G41" s="18" t="s">
        <v>19</v>
      </c>
      <c r="I41" s="20"/>
      <c r="J41" s="21"/>
      <c r="K41" s="21"/>
      <c r="L41" s="21"/>
      <c r="M41" s="21"/>
      <c r="N41" s="22"/>
    </row>
    <row r="42">
      <c r="A42" s="14"/>
      <c r="B42" s="23"/>
      <c r="C42" s="23"/>
      <c r="D42" s="17" t="s">
        <v>16</v>
      </c>
      <c r="E42" s="18" t="s">
        <v>13</v>
      </c>
      <c r="F42" s="18" t="s">
        <v>14</v>
      </c>
      <c r="G42" s="18" t="s">
        <v>19</v>
      </c>
      <c r="I42" s="20"/>
      <c r="J42" s="21"/>
      <c r="K42" s="21"/>
      <c r="L42" s="21"/>
      <c r="M42" s="21"/>
      <c r="N42" s="22"/>
    </row>
    <row r="43">
      <c r="A43" s="14"/>
      <c r="B43" s="25" t="s">
        <v>25</v>
      </c>
      <c r="C43" s="26">
        <v>17.0</v>
      </c>
      <c r="D43" s="17" t="s">
        <v>12</v>
      </c>
      <c r="E43" s="18" t="s">
        <v>13</v>
      </c>
      <c r="F43" s="18" t="s">
        <v>26</v>
      </c>
      <c r="G43" s="19" t="s">
        <v>15</v>
      </c>
      <c r="I43" s="27" t="s">
        <v>25</v>
      </c>
      <c r="J43" s="258">
        <v>17.0</v>
      </c>
      <c r="K43" s="44" t="s">
        <v>211</v>
      </c>
      <c r="L43" s="253" t="s">
        <v>30</v>
      </c>
      <c r="M43" s="253" t="s">
        <v>34</v>
      </c>
      <c r="N43" s="31" t="s">
        <v>19</v>
      </c>
    </row>
    <row r="44">
      <c r="A44" s="14"/>
      <c r="B44" s="24"/>
      <c r="C44" s="24"/>
      <c r="D44" s="17" t="s">
        <v>16</v>
      </c>
      <c r="E44" s="18" t="s">
        <v>13</v>
      </c>
      <c r="F44" s="18" t="s">
        <v>26</v>
      </c>
      <c r="G44" s="19" t="s">
        <v>15</v>
      </c>
      <c r="I44" s="32"/>
      <c r="J44" s="259"/>
      <c r="K44" s="45"/>
      <c r="L44" s="253"/>
      <c r="M44" s="201"/>
      <c r="N44" s="36"/>
    </row>
    <row r="45">
      <c r="A45" s="14"/>
      <c r="B45" s="23"/>
      <c r="C45" s="23"/>
      <c r="D45" s="17" t="s">
        <v>20</v>
      </c>
      <c r="E45" s="18" t="s">
        <v>13</v>
      </c>
      <c r="F45" s="18" t="s">
        <v>26</v>
      </c>
      <c r="G45" s="19" t="s">
        <v>15</v>
      </c>
      <c r="I45" s="20"/>
      <c r="J45" s="21"/>
      <c r="K45" s="21"/>
      <c r="L45" s="21"/>
      <c r="M45" s="21"/>
      <c r="N45" s="22"/>
    </row>
    <row r="46">
      <c r="A46" s="14"/>
      <c r="B46" s="25" t="s">
        <v>29</v>
      </c>
      <c r="C46" s="26">
        <v>18.0</v>
      </c>
      <c r="D46" s="17" t="s">
        <v>12</v>
      </c>
      <c r="E46" s="19" t="s">
        <v>13</v>
      </c>
      <c r="F46" s="18" t="s">
        <v>18</v>
      </c>
      <c r="G46" s="19" t="s">
        <v>15</v>
      </c>
      <c r="I46" s="27" t="s">
        <v>29</v>
      </c>
      <c r="J46" s="43">
        <v>18.0</v>
      </c>
      <c r="K46" s="44" t="s">
        <v>211</v>
      </c>
      <c r="L46" s="30" t="s">
        <v>30</v>
      </c>
      <c r="M46" s="30" t="s">
        <v>34</v>
      </c>
      <c r="N46" s="31" t="s">
        <v>19</v>
      </c>
    </row>
    <row r="47">
      <c r="A47" s="14"/>
      <c r="B47" s="24"/>
      <c r="C47" s="24"/>
      <c r="D47" s="17" t="s">
        <v>16</v>
      </c>
      <c r="E47" s="19" t="s">
        <v>13</v>
      </c>
      <c r="F47" s="18" t="s">
        <v>18</v>
      </c>
      <c r="G47" s="19" t="s">
        <v>15</v>
      </c>
      <c r="I47" s="32"/>
      <c r="J47" s="34"/>
      <c r="K47" s="260" t="s">
        <v>27</v>
      </c>
      <c r="L47" s="30" t="s">
        <v>30</v>
      </c>
      <c r="M47" s="30" t="s">
        <v>34</v>
      </c>
      <c r="N47" s="31" t="s">
        <v>19</v>
      </c>
    </row>
    <row r="48">
      <c r="A48" s="14"/>
      <c r="B48" s="23"/>
      <c r="C48" s="23"/>
      <c r="D48" s="17" t="s">
        <v>20</v>
      </c>
      <c r="E48" s="19" t="s">
        <v>13</v>
      </c>
      <c r="F48" s="18" t="s">
        <v>34</v>
      </c>
      <c r="G48" s="19" t="s">
        <v>50</v>
      </c>
      <c r="I48" s="254"/>
      <c r="J48" s="255"/>
      <c r="K48" s="21"/>
      <c r="L48" s="21"/>
      <c r="M48" s="21"/>
      <c r="N48" s="22"/>
    </row>
    <row r="49">
      <c r="A49" s="14"/>
      <c r="B49" s="25" t="s">
        <v>31</v>
      </c>
      <c r="C49" s="26">
        <v>19.0</v>
      </c>
      <c r="D49" s="17" t="s">
        <v>12</v>
      </c>
      <c r="E49" s="18" t="s">
        <v>44</v>
      </c>
      <c r="F49" s="18" t="s">
        <v>14</v>
      </c>
      <c r="G49" s="19" t="s">
        <v>15</v>
      </c>
      <c r="I49" s="27" t="s">
        <v>31</v>
      </c>
      <c r="J49" s="46">
        <v>19.0</v>
      </c>
      <c r="K49" s="44" t="s">
        <v>27</v>
      </c>
      <c r="L49" s="30" t="s">
        <v>13</v>
      </c>
      <c r="M49" s="30" t="s">
        <v>26</v>
      </c>
      <c r="N49" s="214" t="s">
        <v>19</v>
      </c>
    </row>
    <row r="50">
      <c r="A50" s="14"/>
      <c r="B50" s="24"/>
      <c r="C50" s="24"/>
      <c r="D50" s="17" t="s">
        <v>16</v>
      </c>
      <c r="E50" s="18" t="s">
        <v>44</v>
      </c>
      <c r="F50" s="18" t="s">
        <v>14</v>
      </c>
      <c r="G50" s="19" t="s">
        <v>15</v>
      </c>
      <c r="I50" s="32"/>
      <c r="J50" s="45"/>
      <c r="K50" s="45"/>
      <c r="L50" s="30"/>
      <c r="M50" s="35"/>
      <c r="N50" s="190"/>
    </row>
    <row r="51">
      <c r="A51" s="14"/>
      <c r="B51" s="23"/>
      <c r="C51" s="23"/>
      <c r="D51" s="17" t="s">
        <v>20</v>
      </c>
      <c r="E51" s="18" t="s">
        <v>13</v>
      </c>
      <c r="F51" s="18" t="s">
        <v>14</v>
      </c>
      <c r="G51" s="19" t="s">
        <v>15</v>
      </c>
      <c r="I51" s="20"/>
      <c r="J51" s="21"/>
      <c r="K51" s="21"/>
      <c r="L51" s="21"/>
      <c r="M51" s="21"/>
      <c r="N51" s="22"/>
    </row>
    <row r="52">
      <c r="A52" s="14"/>
      <c r="B52" s="15" t="s">
        <v>11</v>
      </c>
      <c r="C52" s="16">
        <v>20.0</v>
      </c>
      <c r="D52" s="17" t="s">
        <v>12</v>
      </c>
      <c r="E52" s="18" t="s">
        <v>13</v>
      </c>
      <c r="F52" s="19" t="s">
        <v>26</v>
      </c>
      <c r="G52" s="18" t="s">
        <v>15</v>
      </c>
      <c r="I52" s="27" t="s">
        <v>11</v>
      </c>
      <c r="J52" s="46">
        <v>20.0</v>
      </c>
      <c r="K52" s="44" t="s">
        <v>27</v>
      </c>
      <c r="L52" s="30" t="s">
        <v>44</v>
      </c>
      <c r="M52" s="30" t="s">
        <v>26</v>
      </c>
      <c r="N52" s="214" t="s">
        <v>15</v>
      </c>
    </row>
    <row r="53">
      <c r="A53" s="14"/>
      <c r="B53" s="23"/>
      <c r="C53" s="23"/>
      <c r="D53" s="17" t="s">
        <v>16</v>
      </c>
      <c r="E53" s="18" t="s">
        <v>30</v>
      </c>
      <c r="F53" s="19" t="s">
        <v>14</v>
      </c>
      <c r="G53" s="18" t="s">
        <v>19</v>
      </c>
      <c r="I53" s="32"/>
      <c r="J53" s="45"/>
      <c r="K53" s="45"/>
      <c r="L53" s="30"/>
      <c r="M53" s="35"/>
      <c r="N53" s="190"/>
    </row>
    <row r="54">
      <c r="A54" s="14"/>
      <c r="B54" s="15" t="s">
        <v>17</v>
      </c>
      <c r="C54" s="16">
        <v>21.0</v>
      </c>
      <c r="D54" s="17" t="s">
        <v>12</v>
      </c>
      <c r="E54" s="18" t="s">
        <v>13</v>
      </c>
      <c r="F54" s="19" t="s">
        <v>26</v>
      </c>
      <c r="G54" s="18" t="s">
        <v>19</v>
      </c>
      <c r="I54" s="20"/>
      <c r="J54" s="21"/>
      <c r="K54" s="21"/>
      <c r="L54" s="21"/>
      <c r="M54" s="21"/>
      <c r="N54" s="22"/>
    </row>
    <row r="55">
      <c r="A55" s="14"/>
      <c r="B55" s="23"/>
      <c r="C55" s="23"/>
      <c r="D55" s="17" t="s">
        <v>16</v>
      </c>
      <c r="E55" s="18" t="s">
        <v>30</v>
      </c>
      <c r="F55" s="18" t="s">
        <v>14</v>
      </c>
      <c r="G55" s="18" t="s">
        <v>19</v>
      </c>
      <c r="I55" s="20"/>
      <c r="J55" s="21"/>
      <c r="K55" s="21"/>
      <c r="L55" s="21"/>
      <c r="M55" s="21"/>
      <c r="N55" s="22"/>
    </row>
    <row r="56">
      <c r="A56" s="14"/>
      <c r="B56" s="15" t="s">
        <v>21</v>
      </c>
      <c r="C56" s="16">
        <v>22.0</v>
      </c>
      <c r="D56" s="17" t="s">
        <v>12</v>
      </c>
      <c r="E56" s="18" t="s">
        <v>13</v>
      </c>
      <c r="F56" s="19" t="s">
        <v>26</v>
      </c>
      <c r="G56" s="19" t="s">
        <v>15</v>
      </c>
      <c r="I56" s="20"/>
      <c r="J56" s="21"/>
      <c r="K56" s="21"/>
      <c r="L56" s="21"/>
      <c r="M56" s="21"/>
      <c r="N56" s="22"/>
    </row>
    <row r="57">
      <c r="A57" s="14"/>
      <c r="B57" s="23"/>
      <c r="C57" s="23"/>
      <c r="D57" s="17" t="s">
        <v>16</v>
      </c>
      <c r="E57" s="18" t="s">
        <v>30</v>
      </c>
      <c r="F57" s="19" t="s">
        <v>26</v>
      </c>
      <c r="G57" s="19" t="s">
        <v>15</v>
      </c>
      <c r="I57" s="20"/>
      <c r="J57" s="21"/>
      <c r="K57" s="21"/>
      <c r="L57" s="21"/>
      <c r="M57" s="21"/>
      <c r="N57" s="22"/>
    </row>
    <row r="58">
      <c r="A58" s="14"/>
      <c r="B58" s="15" t="s">
        <v>23</v>
      </c>
      <c r="C58" s="16">
        <v>23.0</v>
      </c>
      <c r="D58" s="17" t="s">
        <v>12</v>
      </c>
      <c r="E58" s="18" t="s">
        <v>13</v>
      </c>
      <c r="F58" s="19" t="s">
        <v>26</v>
      </c>
      <c r="G58" s="18" t="s">
        <v>19</v>
      </c>
      <c r="I58" s="254"/>
      <c r="J58" s="255"/>
      <c r="K58" s="21"/>
      <c r="L58" s="21"/>
      <c r="M58" s="21"/>
      <c r="N58" s="22"/>
    </row>
    <row r="59">
      <c r="A59" s="14"/>
      <c r="B59" s="23"/>
      <c r="C59" s="23"/>
      <c r="D59" s="17" t="s">
        <v>16</v>
      </c>
      <c r="E59" s="18" t="s">
        <v>30</v>
      </c>
      <c r="F59" s="18" t="s">
        <v>14</v>
      </c>
      <c r="G59" s="18" t="s">
        <v>19</v>
      </c>
      <c r="I59" s="254"/>
      <c r="J59" s="255"/>
      <c r="K59" s="21"/>
      <c r="L59" s="21"/>
      <c r="M59" s="21"/>
      <c r="N59" s="22"/>
    </row>
    <row r="60">
      <c r="A60" s="14"/>
      <c r="B60" s="25" t="s">
        <v>25</v>
      </c>
      <c r="C60" s="26">
        <v>24.0</v>
      </c>
      <c r="D60" s="17" t="s">
        <v>12</v>
      </c>
      <c r="E60" s="18" t="s">
        <v>13</v>
      </c>
      <c r="F60" s="18" t="s">
        <v>34</v>
      </c>
      <c r="G60" s="18" t="s">
        <v>15</v>
      </c>
      <c r="I60" s="27" t="s">
        <v>25</v>
      </c>
      <c r="J60" s="28">
        <v>24.0</v>
      </c>
      <c r="K60" s="44" t="s">
        <v>27</v>
      </c>
      <c r="L60" s="253"/>
      <c r="M60" s="253"/>
      <c r="N60" s="31"/>
    </row>
    <row r="61">
      <c r="A61" s="14"/>
      <c r="B61" s="24"/>
      <c r="C61" s="24"/>
      <c r="D61" s="17" t="s">
        <v>16</v>
      </c>
      <c r="E61" s="19" t="s">
        <v>30</v>
      </c>
      <c r="F61" s="18" t="s">
        <v>34</v>
      </c>
      <c r="G61" s="18" t="s">
        <v>15</v>
      </c>
      <c r="I61" s="32"/>
      <c r="J61" s="33"/>
      <c r="K61" s="45"/>
      <c r="L61" s="253"/>
      <c r="M61" s="201"/>
      <c r="N61" s="36"/>
    </row>
    <row r="62">
      <c r="A62" s="14"/>
      <c r="B62" s="23"/>
      <c r="C62" s="23"/>
      <c r="D62" s="17" t="s">
        <v>20</v>
      </c>
      <c r="E62" s="19" t="s">
        <v>30</v>
      </c>
      <c r="F62" s="18" t="s">
        <v>34</v>
      </c>
      <c r="G62" s="18" t="s">
        <v>15</v>
      </c>
      <c r="I62" s="256"/>
      <c r="J62" s="257"/>
      <c r="K62" s="21"/>
      <c r="L62" s="21"/>
      <c r="M62" s="21"/>
      <c r="N62" s="22"/>
    </row>
    <row r="63">
      <c r="A63" s="14"/>
      <c r="B63" s="25" t="s">
        <v>29</v>
      </c>
      <c r="C63" s="26">
        <v>25.0</v>
      </c>
      <c r="D63" s="17" t="s">
        <v>12</v>
      </c>
      <c r="E63" s="19" t="s">
        <v>13</v>
      </c>
      <c r="F63" s="18" t="s">
        <v>18</v>
      </c>
      <c r="G63" s="19" t="s">
        <v>19</v>
      </c>
      <c r="I63" s="27" t="s">
        <v>29</v>
      </c>
      <c r="J63" s="43">
        <v>25.0</v>
      </c>
      <c r="K63" s="44" t="s">
        <v>27</v>
      </c>
      <c r="L63" s="30"/>
      <c r="M63" s="30"/>
      <c r="N63" s="31"/>
    </row>
    <row r="64">
      <c r="A64" s="14"/>
      <c r="B64" s="24"/>
      <c r="C64" s="24"/>
      <c r="D64" s="17" t="s">
        <v>16</v>
      </c>
      <c r="E64" s="19" t="s">
        <v>13</v>
      </c>
      <c r="F64" s="18" t="s">
        <v>18</v>
      </c>
      <c r="G64" s="19" t="s">
        <v>19</v>
      </c>
      <c r="I64" s="32"/>
      <c r="J64" s="34"/>
      <c r="K64" s="45"/>
      <c r="L64" s="30"/>
      <c r="M64" s="35"/>
      <c r="N64" s="36"/>
    </row>
    <row r="65">
      <c r="A65" s="14"/>
      <c r="B65" s="23"/>
      <c r="C65" s="23"/>
      <c r="D65" s="17" t="s">
        <v>20</v>
      </c>
      <c r="E65" s="19" t="s">
        <v>13</v>
      </c>
      <c r="F65" s="18" t="s">
        <v>18</v>
      </c>
      <c r="G65" s="19" t="s">
        <v>19</v>
      </c>
      <c r="I65" s="254"/>
      <c r="J65" s="255"/>
      <c r="K65" s="21"/>
      <c r="L65" s="21"/>
      <c r="M65" s="21"/>
      <c r="N65" s="22"/>
    </row>
    <row r="66">
      <c r="A66" s="14"/>
      <c r="B66" s="25" t="s">
        <v>31</v>
      </c>
      <c r="C66" s="26">
        <v>26.0</v>
      </c>
      <c r="D66" s="17" t="s">
        <v>12</v>
      </c>
      <c r="E66" s="19" t="s">
        <v>30</v>
      </c>
      <c r="F66" s="18" t="s">
        <v>26</v>
      </c>
      <c r="G66" s="18" t="s">
        <v>19</v>
      </c>
      <c r="I66" s="27" t="s">
        <v>31</v>
      </c>
      <c r="J66" s="46">
        <v>26.0</v>
      </c>
      <c r="K66" s="44" t="s">
        <v>27</v>
      </c>
      <c r="L66" s="30" t="s">
        <v>44</v>
      </c>
      <c r="M66" s="30" t="s">
        <v>34</v>
      </c>
      <c r="N66" s="214" t="s">
        <v>15</v>
      </c>
    </row>
    <row r="67">
      <c r="A67" s="14"/>
      <c r="B67" s="24"/>
      <c r="C67" s="24"/>
      <c r="D67" s="17" t="s">
        <v>16</v>
      </c>
      <c r="E67" s="19" t="s">
        <v>30</v>
      </c>
      <c r="F67" s="18" t="s">
        <v>26</v>
      </c>
      <c r="G67" s="18" t="s">
        <v>19</v>
      </c>
      <c r="I67" s="32"/>
      <c r="J67" s="45"/>
      <c r="K67" s="45"/>
      <c r="L67" s="30"/>
      <c r="M67" s="35"/>
      <c r="N67" s="190"/>
    </row>
    <row r="68">
      <c r="A68" s="14"/>
      <c r="B68" s="23"/>
      <c r="C68" s="23"/>
      <c r="D68" s="17" t="s">
        <v>20</v>
      </c>
      <c r="E68" s="19" t="s">
        <v>30</v>
      </c>
      <c r="F68" s="18" t="s">
        <v>26</v>
      </c>
      <c r="G68" s="18" t="s">
        <v>19</v>
      </c>
      <c r="I68" s="20"/>
      <c r="J68" s="21"/>
      <c r="K68" s="189"/>
      <c r="L68" s="189"/>
      <c r="M68" s="189"/>
      <c r="N68" s="190"/>
    </row>
    <row r="69">
      <c r="A69" s="14"/>
      <c r="B69" s="15" t="s">
        <v>11</v>
      </c>
      <c r="C69" s="16">
        <v>27.0</v>
      </c>
      <c r="D69" s="17" t="s">
        <v>12</v>
      </c>
      <c r="E69" s="18" t="s">
        <v>22</v>
      </c>
      <c r="F69" s="19" t="s">
        <v>18</v>
      </c>
      <c r="G69" s="18" t="s">
        <v>19</v>
      </c>
      <c r="I69" s="20"/>
      <c r="J69" s="21"/>
      <c r="K69" s="189"/>
      <c r="L69" s="189"/>
      <c r="M69" s="189"/>
      <c r="N69" s="190"/>
    </row>
    <row r="70">
      <c r="A70" s="14"/>
      <c r="B70" s="23"/>
      <c r="C70" s="23"/>
      <c r="D70" s="17" t="s">
        <v>16</v>
      </c>
      <c r="E70" s="18" t="s">
        <v>22</v>
      </c>
      <c r="F70" s="18" t="s">
        <v>18</v>
      </c>
      <c r="G70" s="18" t="s">
        <v>19</v>
      </c>
      <c r="I70" s="20"/>
      <c r="J70" s="21"/>
      <c r="K70" s="189"/>
      <c r="L70" s="189"/>
      <c r="M70" s="189"/>
      <c r="N70" s="190"/>
    </row>
    <row r="71">
      <c r="A71" s="14"/>
      <c r="B71" s="15" t="s">
        <v>17</v>
      </c>
      <c r="C71" s="16">
        <v>28.0</v>
      </c>
      <c r="D71" s="17" t="s">
        <v>12</v>
      </c>
      <c r="E71" s="18" t="s">
        <v>33</v>
      </c>
      <c r="F71" s="18" t="s">
        <v>35</v>
      </c>
      <c r="G71" s="18" t="s">
        <v>15</v>
      </c>
      <c r="I71" s="49"/>
      <c r="J71" s="50"/>
      <c r="K71" s="40"/>
      <c r="L71" s="40"/>
      <c r="M71" s="51"/>
      <c r="N71" s="42"/>
    </row>
    <row r="72">
      <c r="A72" s="14"/>
      <c r="B72" s="23"/>
      <c r="C72" s="23"/>
      <c r="D72" s="17" t="s">
        <v>16</v>
      </c>
      <c r="E72" s="18" t="s">
        <v>13</v>
      </c>
      <c r="F72" s="18" t="s">
        <v>35</v>
      </c>
      <c r="G72" s="18" t="s">
        <v>15</v>
      </c>
      <c r="I72" s="49"/>
      <c r="J72" s="50"/>
      <c r="K72" s="40"/>
      <c r="L72" s="40"/>
      <c r="M72" s="51"/>
      <c r="N72" s="42"/>
    </row>
    <row r="73">
      <c r="A73" s="14"/>
      <c r="B73" s="15" t="s">
        <v>21</v>
      </c>
      <c r="C73" s="16">
        <v>29.0</v>
      </c>
      <c r="D73" s="17" t="s">
        <v>12</v>
      </c>
      <c r="E73" s="18" t="s">
        <v>22</v>
      </c>
      <c r="F73" s="18" t="s">
        <v>35</v>
      </c>
      <c r="G73" s="18" t="s">
        <v>15</v>
      </c>
      <c r="I73" s="49"/>
      <c r="J73" s="50"/>
      <c r="K73" s="40"/>
      <c r="L73" s="40"/>
      <c r="M73" s="51"/>
      <c r="N73" s="42"/>
    </row>
    <row r="74">
      <c r="A74" s="14"/>
      <c r="B74" s="23"/>
      <c r="C74" s="23"/>
      <c r="D74" s="17" t="s">
        <v>16</v>
      </c>
      <c r="E74" s="18" t="s">
        <v>22</v>
      </c>
      <c r="F74" s="18" t="s">
        <v>35</v>
      </c>
      <c r="G74" s="18" t="s">
        <v>15</v>
      </c>
      <c r="I74" s="49"/>
      <c r="J74" s="50"/>
      <c r="K74" s="40"/>
      <c r="L74" s="40"/>
      <c r="M74" s="51"/>
      <c r="N74" s="42"/>
    </row>
    <row r="75">
      <c r="A75" s="14"/>
      <c r="B75" s="15" t="s">
        <v>23</v>
      </c>
      <c r="C75" s="16">
        <v>30.0</v>
      </c>
      <c r="D75" s="17" t="s">
        <v>12</v>
      </c>
      <c r="E75" s="18" t="s">
        <v>22</v>
      </c>
      <c r="F75" s="18" t="s">
        <v>26</v>
      </c>
      <c r="G75" s="18" t="s">
        <v>19</v>
      </c>
      <c r="I75" s="49"/>
      <c r="J75" s="50"/>
      <c r="K75" s="40"/>
      <c r="L75" s="40"/>
      <c r="M75" s="51"/>
      <c r="N75" s="42"/>
    </row>
    <row r="76">
      <c r="A76" s="14"/>
      <c r="B76" s="23"/>
      <c r="C76" s="23"/>
      <c r="D76" s="17" t="s">
        <v>16</v>
      </c>
      <c r="E76" s="18" t="s">
        <v>22</v>
      </c>
      <c r="F76" s="18" t="s">
        <v>14</v>
      </c>
      <c r="G76" s="18" t="s">
        <v>19</v>
      </c>
      <c r="I76" s="49"/>
      <c r="J76" s="50"/>
      <c r="K76" s="40"/>
      <c r="L76" s="40"/>
      <c r="M76" s="51"/>
      <c r="N76" s="42"/>
    </row>
    <row r="77">
      <c r="A77" s="14"/>
      <c r="B77" s="15"/>
      <c r="C77" s="261"/>
      <c r="D77" s="17"/>
      <c r="E77" s="18"/>
      <c r="F77" s="193"/>
      <c r="G77" s="193"/>
      <c r="I77" s="49"/>
      <c r="J77" s="50"/>
      <c r="K77" s="40"/>
      <c r="L77" s="40"/>
      <c r="M77" s="51"/>
      <c r="N77" s="42"/>
    </row>
    <row r="78">
      <c r="A78" s="14"/>
      <c r="B78" s="24"/>
      <c r="C78" s="24"/>
      <c r="D78" s="17"/>
      <c r="E78" s="18"/>
      <c r="F78" s="193"/>
      <c r="G78" s="193"/>
      <c r="I78" s="49"/>
      <c r="J78" s="50"/>
      <c r="K78" s="40"/>
      <c r="L78" s="40"/>
      <c r="M78" s="51"/>
      <c r="N78" s="42"/>
    </row>
    <row r="79">
      <c r="A79" s="14"/>
      <c r="B79" s="23"/>
      <c r="C79" s="23"/>
      <c r="D79" s="17"/>
      <c r="E79" s="18"/>
      <c r="F79" s="193"/>
      <c r="G79" s="193"/>
      <c r="I79" s="20"/>
      <c r="J79" s="21"/>
      <c r="K79" s="21"/>
      <c r="L79" s="21"/>
      <c r="M79" s="21"/>
      <c r="N79" s="22"/>
    </row>
    <row r="80">
      <c r="E80" s="63">
        <f>COUNTIF(E4:E79, "Mira") + Countif(E4:E79, "Tuna")+ Countif(E4:E79, "Marco Paulo")+ Countif(E4:E79, "Pablo")+ Countif(E4:E79, "Tavares")+ Countif(E4:E79, "Sobral") + Countif(E4:E79, "Pipo")+ Countif(E4:E79, "Enfermagem")+ Countif(E4:E79, "Literatus")+ Countif(E4:E79, "Medicina")</f>
        <v>73</v>
      </c>
      <c r="F80" s="63">
        <f>Countif(F4:F79, "Gift") + Countif(F4:F79, "Monte") + Countif(F4:F79, "Sorte") + Countif(F4:F79, "Afonso") + Countif(F4:F79, "Geni") + Countif(F4:F79, "JP")</f>
        <v>73</v>
      </c>
      <c r="G80" s="63">
        <f>COUNTIF(G4:G79, "Apostas") + COUNTIF(G4:G79, "Prodígio") + COUNTIF(G4:G79, "Poço")</f>
        <v>73</v>
      </c>
      <c r="I80" s="60"/>
      <c r="J80" s="61"/>
      <c r="K80" s="61"/>
      <c r="L80" s="61"/>
      <c r="M80" s="61"/>
      <c r="N80" s="62"/>
    </row>
    <row r="81">
      <c r="L81" s="64">
        <f>COUNTIF(L4:L80, "Mira") + Countif(L4:L80, "Tuna")+ Countif(L4:L80, "Gustavo")+ Countif(L4:L80, "Pablo")+ Countif(L4:L80, "Tavares")+ Countif(L4:L80, "Sobral") + Countif(L4:L80, "Pipo")+ Countif(L4:L80, "Enfermagem")+ Countif(L4:L80, "Literatus")+ Countif(L4:L80, "Medicina")</f>
        <v>9</v>
      </c>
      <c r="M81" s="64">
        <f>Countif(M4:M77, "Gift") + Countif(M4:M77, "Monte") + Countif(M4:M77, "Sorte") + Countif(M4:M77, "Afonso") + Countif(M4:M77, "Geni") + Countif(M4:M77, "JP")</f>
        <v>9</v>
      </c>
      <c r="N81" s="64">
        <f>Countif(N4:N77, "Apostas") + Countif(N4:N77, "Prodígio") + Countif(N4:N77, "Poço")</f>
        <v>9</v>
      </c>
    </row>
    <row r="85" ht="22.5" customHeight="1">
      <c r="D85" s="65" t="s">
        <v>36</v>
      </c>
      <c r="E85" s="65" t="s">
        <v>37</v>
      </c>
      <c r="F85" s="65" t="s">
        <v>38</v>
      </c>
      <c r="G85" s="66" t="s">
        <v>39</v>
      </c>
      <c r="H85" s="67" t="s">
        <v>40</v>
      </c>
      <c r="K85" s="65" t="s">
        <v>36</v>
      </c>
      <c r="L85" s="65" t="s">
        <v>37</v>
      </c>
      <c r="M85" s="65" t="s">
        <v>38</v>
      </c>
      <c r="N85" s="66" t="s">
        <v>39</v>
      </c>
      <c r="O85" s="67" t="s">
        <v>40</v>
      </c>
      <c r="R85" s="68" t="s">
        <v>41</v>
      </c>
    </row>
    <row r="86" ht="22.5" customHeight="1">
      <c r="C86" s="69" t="s">
        <v>42</v>
      </c>
      <c r="D86" s="70" t="s">
        <v>22</v>
      </c>
      <c r="E86" s="71">
        <f>COUNTIF(E3:E79,"Tuna")</f>
        <v>6</v>
      </c>
      <c r="F86" s="72">
        <f t="shared" ref="F86:F102" si="2">((75/3)*E86)</f>
        <v>150</v>
      </c>
      <c r="G86" s="73">
        <f>E80</f>
        <v>73</v>
      </c>
      <c r="H86" s="74">
        <f>SUM(F86:F92)</f>
        <v>1825</v>
      </c>
      <c r="J86" s="69" t="s">
        <v>42</v>
      </c>
      <c r="K86" s="70" t="s">
        <v>22</v>
      </c>
      <c r="L86" s="71">
        <f>COUNTIF(L1:L77,"Tuna")</f>
        <v>0</v>
      </c>
      <c r="M86" s="72">
        <f t="shared" ref="M86:M101" si="3">((75/3)*L86)</f>
        <v>0</v>
      </c>
      <c r="N86" s="73">
        <f t="shared" ref="N86:O86" si="1">SUM(L86:L92)</f>
        <v>9</v>
      </c>
      <c r="O86" s="74">
        <f t="shared" si="1"/>
        <v>225</v>
      </c>
      <c r="Q86" s="75" t="s">
        <v>22</v>
      </c>
      <c r="R86" s="76">
        <f t="shared" ref="R86:R102" si="4">SUM(F86,M86)</f>
        <v>150</v>
      </c>
    </row>
    <row r="87" ht="22.5" customHeight="1">
      <c r="C87" s="77"/>
      <c r="D87" s="78" t="s">
        <v>30</v>
      </c>
      <c r="E87" s="79">
        <f>COUNTIF(E3:E79,"Mira")</f>
        <v>24</v>
      </c>
      <c r="F87" s="80">
        <f t="shared" si="2"/>
        <v>600</v>
      </c>
      <c r="G87" s="81"/>
      <c r="H87" s="82"/>
      <c r="J87" s="77"/>
      <c r="K87" s="78" t="s">
        <v>30</v>
      </c>
      <c r="L87" s="79">
        <f>COUNTIF(L1:L77,"Mira")</f>
        <v>6</v>
      </c>
      <c r="M87" s="80">
        <f t="shared" si="3"/>
        <v>150</v>
      </c>
      <c r="N87" s="81"/>
      <c r="O87" s="82"/>
      <c r="Q87" s="83" t="s">
        <v>30</v>
      </c>
      <c r="R87" s="76">
        <f t="shared" si="4"/>
        <v>750</v>
      </c>
    </row>
    <row r="88" ht="22.5" customHeight="1">
      <c r="C88" s="77"/>
      <c r="D88" s="78" t="s">
        <v>13</v>
      </c>
      <c r="E88" s="79">
        <f>COUNTIF(E3:E79,"Pipo")</f>
        <v>35</v>
      </c>
      <c r="F88" s="80">
        <f t="shared" si="2"/>
        <v>875</v>
      </c>
      <c r="G88" s="81"/>
      <c r="H88" s="82"/>
      <c r="J88" s="77"/>
      <c r="K88" s="78" t="s">
        <v>13</v>
      </c>
      <c r="L88" s="79">
        <f>COUNTIF(L1:L77,"Pipo")</f>
        <v>1</v>
      </c>
      <c r="M88" s="84">
        <f t="shared" si="3"/>
        <v>25</v>
      </c>
      <c r="N88" s="81"/>
      <c r="O88" s="82"/>
      <c r="Q88" s="83" t="s">
        <v>13</v>
      </c>
      <c r="R88" s="76">
        <f t="shared" si="4"/>
        <v>900</v>
      </c>
    </row>
    <row r="89" ht="22.5" customHeight="1">
      <c r="C89" s="77"/>
      <c r="D89" s="78" t="s">
        <v>43</v>
      </c>
      <c r="E89" s="79">
        <f>COUNTIF(E3:E79,"Pablo")</f>
        <v>0</v>
      </c>
      <c r="F89" s="84">
        <f t="shared" si="2"/>
        <v>0</v>
      </c>
      <c r="G89" s="81"/>
      <c r="H89" s="82"/>
      <c r="J89" s="77"/>
      <c r="K89" s="78" t="s">
        <v>43</v>
      </c>
      <c r="L89" s="79">
        <f>COUNTIF(L1:L77,"Pablo")</f>
        <v>0</v>
      </c>
      <c r="M89" s="84">
        <f t="shared" si="3"/>
        <v>0</v>
      </c>
      <c r="N89" s="81"/>
      <c r="O89" s="82"/>
      <c r="Q89" s="83" t="s">
        <v>43</v>
      </c>
      <c r="R89" s="76">
        <f t="shared" si="4"/>
        <v>0</v>
      </c>
    </row>
    <row r="90" ht="22.5" customHeight="1">
      <c r="C90" s="77"/>
      <c r="D90" s="78" t="s">
        <v>44</v>
      </c>
      <c r="E90" s="79">
        <f>COUNTIF(E3:E79,"Tavares")</f>
        <v>7</v>
      </c>
      <c r="F90" s="84">
        <f t="shared" si="2"/>
        <v>175</v>
      </c>
      <c r="G90" s="81"/>
      <c r="H90" s="82"/>
      <c r="J90" s="77"/>
      <c r="K90" s="78" t="s">
        <v>44</v>
      </c>
      <c r="L90" s="79">
        <f>COUNTIF(L1:L77,"Tavares")</f>
        <v>2</v>
      </c>
      <c r="M90" s="84">
        <f t="shared" si="3"/>
        <v>50</v>
      </c>
      <c r="N90" s="81"/>
      <c r="O90" s="82"/>
      <c r="Q90" s="83" t="s">
        <v>44</v>
      </c>
      <c r="R90" s="76">
        <f t="shared" si="4"/>
        <v>225</v>
      </c>
    </row>
    <row r="91" ht="22.5" customHeight="1">
      <c r="C91" s="77"/>
      <c r="D91" s="78" t="s">
        <v>201</v>
      </c>
      <c r="E91" s="79">
        <f>COUNTIF(E3:E79,"Gustavo")</f>
        <v>0</v>
      </c>
      <c r="F91" s="84">
        <f t="shared" si="2"/>
        <v>0</v>
      </c>
      <c r="G91" s="81"/>
      <c r="H91" s="82"/>
      <c r="J91" s="77"/>
      <c r="K91" s="78" t="s">
        <v>201</v>
      </c>
      <c r="L91" s="79">
        <f>COUNTIF(L4:L82,"Gustavo")</f>
        <v>0</v>
      </c>
      <c r="M91" s="84">
        <f t="shared" si="3"/>
        <v>0</v>
      </c>
      <c r="N91" s="81"/>
      <c r="O91" s="82"/>
      <c r="Q91" s="83" t="s">
        <v>201</v>
      </c>
      <c r="R91" s="76">
        <f t="shared" si="4"/>
        <v>0</v>
      </c>
    </row>
    <row r="92" ht="22.5" customHeight="1">
      <c r="C92" s="91"/>
      <c r="D92" s="92" t="s">
        <v>33</v>
      </c>
      <c r="E92" s="93">
        <f>COUNTIF(E3:E79,"Marco Paulo")</f>
        <v>1</v>
      </c>
      <c r="F92" s="94">
        <f t="shared" si="2"/>
        <v>25</v>
      </c>
      <c r="G92" s="95"/>
      <c r="H92" s="96"/>
      <c r="J92" s="91"/>
      <c r="K92" s="92" t="s">
        <v>33</v>
      </c>
      <c r="L92" s="93">
        <f>COUNTIF(L2:L79,"Tomás")</f>
        <v>0</v>
      </c>
      <c r="M92" s="94">
        <f t="shared" si="3"/>
        <v>0</v>
      </c>
      <c r="N92" s="95"/>
      <c r="O92" s="96"/>
      <c r="Q92" s="97" t="s">
        <v>46</v>
      </c>
      <c r="R92" s="98">
        <f t="shared" si="4"/>
        <v>25</v>
      </c>
    </row>
    <row r="93" ht="22.5" customHeight="1">
      <c r="C93" s="69" t="s">
        <v>47</v>
      </c>
      <c r="D93" s="99" t="s">
        <v>35</v>
      </c>
      <c r="E93" s="100">
        <f>Countif(F3:F79,"Gift")</f>
        <v>12</v>
      </c>
      <c r="F93" s="101">
        <f t="shared" si="2"/>
        <v>300</v>
      </c>
      <c r="G93" s="102">
        <f>F80</f>
        <v>73</v>
      </c>
      <c r="H93" s="103">
        <f>SUM(F93:F98)</f>
        <v>1825</v>
      </c>
      <c r="J93" s="69" t="s">
        <v>47</v>
      </c>
      <c r="K93" s="99" t="s">
        <v>35</v>
      </c>
      <c r="L93" s="100">
        <f>Countif(M1:M77,"Gift")</f>
        <v>0</v>
      </c>
      <c r="M93" s="101">
        <f t="shared" si="3"/>
        <v>0</v>
      </c>
      <c r="N93" s="102">
        <f t="shared" ref="N93:O93" si="5">SUM(L93:L98)</f>
        <v>9</v>
      </c>
      <c r="O93" s="103">
        <f t="shared" si="5"/>
        <v>225</v>
      </c>
      <c r="Q93" s="104" t="s">
        <v>35</v>
      </c>
      <c r="R93" s="105">
        <f t="shared" si="4"/>
        <v>300</v>
      </c>
    </row>
    <row r="94" ht="22.5" customHeight="1">
      <c r="C94" s="77"/>
      <c r="D94" s="99" t="s">
        <v>34</v>
      </c>
      <c r="E94" s="100">
        <f>Countif(F3:F79,"Monte")</f>
        <v>14</v>
      </c>
      <c r="F94" s="101">
        <f t="shared" si="2"/>
        <v>350</v>
      </c>
      <c r="G94" s="106"/>
      <c r="H94" s="82"/>
      <c r="J94" s="77"/>
      <c r="K94" s="99" t="s">
        <v>34</v>
      </c>
      <c r="L94" s="100">
        <f>Countif(M1:M77,"Monte")</f>
        <v>6</v>
      </c>
      <c r="M94" s="101">
        <f t="shared" si="3"/>
        <v>150</v>
      </c>
      <c r="N94" s="106"/>
      <c r="O94" s="82"/>
      <c r="Q94" s="83" t="s">
        <v>34</v>
      </c>
      <c r="R94" s="76">
        <f t="shared" si="4"/>
        <v>500</v>
      </c>
    </row>
    <row r="95" ht="22.5" customHeight="1">
      <c r="C95" s="77"/>
      <c r="D95" s="99" t="s">
        <v>26</v>
      </c>
      <c r="E95" s="100">
        <f>Countif(F3:F79,"Sorte")</f>
        <v>22</v>
      </c>
      <c r="F95" s="101">
        <f t="shared" si="2"/>
        <v>550</v>
      </c>
      <c r="G95" s="106"/>
      <c r="H95" s="82"/>
      <c r="J95" s="77"/>
      <c r="K95" s="99" t="s">
        <v>26</v>
      </c>
      <c r="L95" s="100">
        <f>Countif(M1:M77,"Sorte")</f>
        <v>3</v>
      </c>
      <c r="M95" s="101">
        <f t="shared" si="3"/>
        <v>75</v>
      </c>
      <c r="N95" s="106"/>
      <c r="O95" s="82"/>
      <c r="Q95" s="83" t="s">
        <v>26</v>
      </c>
      <c r="R95" s="76">
        <f t="shared" si="4"/>
        <v>625</v>
      </c>
    </row>
    <row r="96" ht="22.5" customHeight="1">
      <c r="C96" s="77"/>
      <c r="D96" s="99" t="s">
        <v>14</v>
      </c>
      <c r="E96" s="100">
        <f>Countif(F3:F79,"Afonso")</f>
        <v>11</v>
      </c>
      <c r="F96" s="101">
        <f t="shared" si="2"/>
        <v>275</v>
      </c>
      <c r="G96" s="106"/>
      <c r="H96" s="82"/>
      <c r="J96" s="77"/>
      <c r="K96" s="99" t="s">
        <v>14</v>
      </c>
      <c r="L96" s="100">
        <f>Countif(M1:M77,"Afonso")</f>
        <v>0</v>
      </c>
      <c r="M96" s="101">
        <f t="shared" si="3"/>
        <v>0</v>
      </c>
      <c r="N96" s="106"/>
      <c r="O96" s="82"/>
      <c r="Q96" s="83" t="s">
        <v>14</v>
      </c>
      <c r="R96" s="76">
        <f t="shared" si="4"/>
        <v>275</v>
      </c>
    </row>
    <row r="97" ht="22.5" customHeight="1">
      <c r="C97" s="77"/>
      <c r="D97" s="99" t="s">
        <v>18</v>
      </c>
      <c r="E97" s="107">
        <f>Countif(F3:F79,"Geni")</f>
        <v>14</v>
      </c>
      <c r="F97" s="108">
        <f t="shared" si="2"/>
        <v>350</v>
      </c>
      <c r="G97" s="106"/>
      <c r="H97" s="82"/>
      <c r="J97" s="77"/>
      <c r="K97" s="99" t="s">
        <v>18</v>
      </c>
      <c r="L97" s="100">
        <f>Countif(M1:M77,"Geni")</f>
        <v>0</v>
      </c>
      <c r="M97" s="101">
        <f t="shared" si="3"/>
        <v>0</v>
      </c>
      <c r="N97" s="106"/>
      <c r="O97" s="82"/>
      <c r="Q97" s="83" t="s">
        <v>18</v>
      </c>
      <c r="R97" s="76">
        <f t="shared" si="4"/>
        <v>350</v>
      </c>
    </row>
    <row r="98" ht="22.5" customHeight="1">
      <c r="C98" s="91"/>
      <c r="D98" s="92" t="s">
        <v>48</v>
      </c>
      <c r="E98" s="86">
        <f>Countif(F3:F79,"JP")</f>
        <v>0</v>
      </c>
      <c r="F98" s="87">
        <f t="shared" si="2"/>
        <v>0</v>
      </c>
      <c r="G98" s="106"/>
      <c r="H98" s="82"/>
      <c r="J98" s="91"/>
      <c r="K98" s="92" t="s">
        <v>48</v>
      </c>
      <c r="L98" s="93">
        <f>Countif(M1:M77,"JP")</f>
        <v>0</v>
      </c>
      <c r="M98" s="94">
        <f t="shared" si="3"/>
        <v>0</v>
      </c>
      <c r="N98" s="106"/>
      <c r="O98" s="82"/>
      <c r="Q98" s="97" t="s">
        <v>48</v>
      </c>
      <c r="R98" s="98">
        <f t="shared" si="4"/>
        <v>0</v>
      </c>
    </row>
    <row r="99" ht="22.5" customHeight="1">
      <c r="C99" s="69" t="s">
        <v>49</v>
      </c>
      <c r="D99" s="114" t="s">
        <v>19</v>
      </c>
      <c r="E99" s="115">
        <f>Countif(G3:G79,"Apostas")</f>
        <v>40</v>
      </c>
      <c r="F99" s="112">
        <f t="shared" si="2"/>
        <v>1000</v>
      </c>
      <c r="G99" s="73">
        <f>G80</f>
        <v>73</v>
      </c>
      <c r="H99" s="74">
        <f>SUM(F99:F101)</f>
        <v>1825</v>
      </c>
      <c r="J99" s="69" t="s">
        <v>49</v>
      </c>
      <c r="K99" s="114" t="s">
        <v>19</v>
      </c>
      <c r="L99" s="115">
        <f>Countif(N1:N77,"Apostas")</f>
        <v>5</v>
      </c>
      <c r="M99" s="112">
        <f t="shared" si="3"/>
        <v>125</v>
      </c>
      <c r="N99" s="73">
        <f t="shared" ref="N99:O99" si="6">SUM(L99:L101)</f>
        <v>9</v>
      </c>
      <c r="O99" s="74">
        <f t="shared" si="6"/>
        <v>225</v>
      </c>
      <c r="Q99" s="104" t="s">
        <v>19</v>
      </c>
      <c r="R99" s="105">
        <f t="shared" si="4"/>
        <v>1125</v>
      </c>
    </row>
    <row r="100" ht="22.5" customHeight="1">
      <c r="C100" s="77"/>
      <c r="D100" s="120" t="s">
        <v>15</v>
      </c>
      <c r="E100" s="121">
        <f>Countif(G3:G79,"Prodígio")</f>
        <v>32</v>
      </c>
      <c r="F100" s="119">
        <f t="shared" si="2"/>
        <v>800</v>
      </c>
      <c r="G100" s="81"/>
      <c r="H100" s="82"/>
      <c r="J100" s="77"/>
      <c r="K100" s="120" t="s">
        <v>15</v>
      </c>
      <c r="L100" s="121">
        <f>Countif(N1:N77,"Prodígio")</f>
        <v>4</v>
      </c>
      <c r="M100" s="119">
        <f t="shared" si="3"/>
        <v>100</v>
      </c>
      <c r="N100" s="81"/>
      <c r="O100" s="82"/>
      <c r="Q100" s="83" t="s">
        <v>15</v>
      </c>
      <c r="R100" s="76">
        <f t="shared" si="4"/>
        <v>900</v>
      </c>
    </row>
    <row r="101" ht="22.5" customHeight="1">
      <c r="C101" s="77"/>
      <c r="D101" s="120" t="s">
        <v>50</v>
      </c>
      <c r="E101" s="121">
        <f>Countif(G1:G79,"Poço")</f>
        <v>1</v>
      </c>
      <c r="F101" s="119">
        <f t="shared" si="2"/>
        <v>25</v>
      </c>
      <c r="G101" s="81"/>
      <c r="H101" s="82"/>
      <c r="J101" s="77"/>
      <c r="K101" s="120" t="s">
        <v>50</v>
      </c>
      <c r="L101" s="121">
        <f>Countif(N1:N77,"Poço")</f>
        <v>0</v>
      </c>
      <c r="M101" s="119">
        <f t="shared" si="3"/>
        <v>0</v>
      </c>
      <c r="N101" s="81"/>
      <c r="O101" s="82"/>
      <c r="Q101" s="83" t="s">
        <v>50</v>
      </c>
      <c r="R101" s="76">
        <f t="shared" si="4"/>
        <v>25</v>
      </c>
    </row>
    <row r="102" ht="22.5" customHeight="1">
      <c r="C102" s="91"/>
      <c r="D102" s="222" t="s">
        <v>24</v>
      </c>
      <c r="E102" s="128">
        <f>Countif(G2:G80,"Pedro")</f>
        <v>0</v>
      </c>
      <c r="F102" s="129">
        <f t="shared" si="2"/>
        <v>0</v>
      </c>
      <c r="G102" s="130"/>
      <c r="H102" s="127"/>
      <c r="J102" s="91"/>
      <c r="K102" s="222" t="s">
        <v>24</v>
      </c>
      <c r="L102" s="128">
        <f>Countif(N2:N77,"Pedro")</f>
        <v>0</v>
      </c>
      <c r="M102" s="129">
        <f>((60/3)*L102)</f>
        <v>0</v>
      </c>
      <c r="N102" s="130"/>
      <c r="O102" s="127"/>
      <c r="Q102" s="131" t="s">
        <v>48</v>
      </c>
      <c r="R102" s="76">
        <f t="shared" si="4"/>
        <v>0</v>
      </c>
    </row>
    <row r="103">
      <c r="H103" s="132">
        <f>SUM(H86:H101)</f>
        <v>5475</v>
      </c>
      <c r="O103" s="132">
        <f>SUM(O86:O101)</f>
        <v>675</v>
      </c>
      <c r="Q103" s="133"/>
      <c r="R103" s="134">
        <f>SUM(H103+O103)</f>
        <v>6150</v>
      </c>
    </row>
    <row r="104">
      <c r="H104" s="135"/>
      <c r="O104" s="135"/>
      <c r="Q104" s="133"/>
      <c r="R104" s="135"/>
    </row>
    <row r="107" ht="22.5" customHeight="1">
      <c r="D107" s="136" t="s">
        <v>36</v>
      </c>
      <c r="E107" s="136" t="s">
        <v>37</v>
      </c>
      <c r="F107" s="136" t="s">
        <v>38</v>
      </c>
      <c r="G107" s="137" t="s">
        <v>40</v>
      </c>
      <c r="J107" s="138" t="s">
        <v>6</v>
      </c>
      <c r="K107" s="100" t="s">
        <v>51</v>
      </c>
      <c r="Q107" s="139" t="s">
        <v>52</v>
      </c>
    </row>
    <row r="108" ht="22.5" customHeight="1">
      <c r="C108" s="140" t="s">
        <v>53</v>
      </c>
      <c r="D108" s="141" t="s">
        <v>54</v>
      </c>
      <c r="E108" s="142">
        <f>COUNTIF(E37:E79,"Medicina")</f>
        <v>0</v>
      </c>
      <c r="F108" s="143">
        <f t="shared" ref="F108:F110" si="7">((60/3)*E108)</f>
        <v>0</v>
      </c>
      <c r="G108" s="144">
        <f>SUM(F108:F110)</f>
        <v>0</v>
      </c>
      <c r="J108" s="145" t="s">
        <v>55</v>
      </c>
      <c r="K108" s="146">
        <v>20.0</v>
      </c>
      <c r="P108" s="147"/>
      <c r="Q108" s="223" t="s">
        <v>56</v>
      </c>
      <c r="R108" s="224"/>
    </row>
    <row r="109" ht="22.5" customHeight="1">
      <c r="C109" s="116"/>
      <c r="D109" s="150" t="s">
        <v>57</v>
      </c>
      <c r="E109" s="88">
        <f>COUNTIF(E37:E79,"Literatus")</f>
        <v>0</v>
      </c>
      <c r="F109" s="151">
        <f t="shared" si="7"/>
        <v>0</v>
      </c>
      <c r="G109" s="152"/>
      <c r="J109" s="153" t="s">
        <v>58</v>
      </c>
      <c r="K109" s="154">
        <v>20.0</v>
      </c>
      <c r="P109" s="155"/>
      <c r="Q109" s="225" t="s">
        <v>59</v>
      </c>
      <c r="R109" s="226"/>
    </row>
    <row r="110" ht="22.5" customHeight="1">
      <c r="C110" s="124"/>
      <c r="D110" s="158" t="s">
        <v>60</v>
      </c>
      <c r="E110" s="159">
        <f>COUNTIF(E37:E79,"Enfermagem")</f>
        <v>0</v>
      </c>
      <c r="F110" s="160">
        <f t="shared" si="7"/>
        <v>0</v>
      </c>
      <c r="G110" s="161"/>
      <c r="J110" s="153" t="s">
        <v>61</v>
      </c>
      <c r="K110" s="154">
        <v>20.0</v>
      </c>
      <c r="P110" s="162"/>
      <c r="Q110" s="225" t="s">
        <v>62</v>
      </c>
      <c r="R110" s="226"/>
    </row>
    <row r="111" ht="22.5" customHeight="1">
      <c r="G111" s="163">
        <f>SUM(G108:G110)</f>
        <v>0</v>
      </c>
      <c r="J111" s="164" t="s">
        <v>63</v>
      </c>
      <c r="K111" s="165">
        <v>20.0</v>
      </c>
      <c r="P111" s="166"/>
      <c r="Q111" s="223" t="s">
        <v>64</v>
      </c>
      <c r="R111" s="224"/>
    </row>
    <row r="112">
      <c r="G112" s="161"/>
      <c r="P112" s="167" t="s">
        <v>65</v>
      </c>
      <c r="Q112" s="225" t="s">
        <v>66</v>
      </c>
      <c r="R112" s="226"/>
    </row>
    <row r="113">
      <c r="P113" s="168" t="s">
        <v>65</v>
      </c>
      <c r="Q113" s="225" t="s">
        <v>202</v>
      </c>
      <c r="R113" s="226"/>
    </row>
    <row r="114">
      <c r="P114" s="169" t="s">
        <v>28</v>
      </c>
      <c r="Q114" s="225" t="s">
        <v>203</v>
      </c>
      <c r="R114" s="226"/>
    </row>
    <row r="115">
      <c r="P115" s="170"/>
      <c r="Q115" s="225" t="s">
        <v>69</v>
      </c>
      <c r="R115" s="226"/>
    </row>
    <row r="116">
      <c r="P116" s="171" t="s">
        <v>65</v>
      </c>
      <c r="Q116" s="225" t="s">
        <v>68</v>
      </c>
      <c r="R116" s="226"/>
    </row>
    <row r="117">
      <c r="P117" s="172">
        <v>46.0</v>
      </c>
      <c r="Q117" s="225" t="s">
        <v>71</v>
      </c>
      <c r="R117" s="226"/>
    </row>
  </sheetData>
  <mergeCells count="126">
    <mergeCell ref="B17:B18"/>
    <mergeCell ref="C17:C18"/>
    <mergeCell ref="B19:B21"/>
    <mergeCell ref="C19:C21"/>
    <mergeCell ref="B22:B23"/>
    <mergeCell ref="C22:C23"/>
    <mergeCell ref="C24:C25"/>
    <mergeCell ref="B37:B38"/>
    <mergeCell ref="C37:C38"/>
    <mergeCell ref="B39:B40"/>
    <mergeCell ref="C39:C40"/>
    <mergeCell ref="B41:B42"/>
    <mergeCell ref="C41:C42"/>
    <mergeCell ref="B43:B45"/>
    <mergeCell ref="B46:B48"/>
    <mergeCell ref="C46:C48"/>
    <mergeCell ref="B49:B51"/>
    <mergeCell ref="C49:C51"/>
    <mergeCell ref="B52:B53"/>
    <mergeCell ref="C52:C53"/>
    <mergeCell ref="C54:C55"/>
    <mergeCell ref="B71:B72"/>
    <mergeCell ref="B73:B74"/>
    <mergeCell ref="B75:B76"/>
    <mergeCell ref="B77:B79"/>
    <mergeCell ref="B54:B55"/>
    <mergeCell ref="B56:B57"/>
    <mergeCell ref="B58:B59"/>
    <mergeCell ref="B60:B62"/>
    <mergeCell ref="B63:B65"/>
    <mergeCell ref="B66:B68"/>
    <mergeCell ref="B69:B70"/>
    <mergeCell ref="C73:C74"/>
    <mergeCell ref="C75:C76"/>
    <mergeCell ref="C77:C79"/>
    <mergeCell ref="C86:C92"/>
    <mergeCell ref="C93:C98"/>
    <mergeCell ref="C99:C102"/>
    <mergeCell ref="C108:C110"/>
    <mergeCell ref="C56:C57"/>
    <mergeCell ref="C58:C59"/>
    <mergeCell ref="C60:C62"/>
    <mergeCell ref="C63:C65"/>
    <mergeCell ref="C66:C68"/>
    <mergeCell ref="C69:C70"/>
    <mergeCell ref="C71:C72"/>
    <mergeCell ref="J49:J50"/>
    <mergeCell ref="K49:K50"/>
    <mergeCell ref="I52:I53"/>
    <mergeCell ref="J52:J53"/>
    <mergeCell ref="K52:K53"/>
    <mergeCell ref="J60:J61"/>
    <mergeCell ref="K60:K61"/>
    <mergeCell ref="I60:I61"/>
    <mergeCell ref="I63:I64"/>
    <mergeCell ref="J63:J64"/>
    <mergeCell ref="K63:K64"/>
    <mergeCell ref="I66:I67"/>
    <mergeCell ref="J66:J67"/>
    <mergeCell ref="K66:K67"/>
    <mergeCell ref="N86:N92"/>
    <mergeCell ref="N93:N98"/>
    <mergeCell ref="N99:N102"/>
    <mergeCell ref="O99:O102"/>
    <mergeCell ref="O103:O104"/>
    <mergeCell ref="R103:R104"/>
    <mergeCell ref="Q107:R107"/>
    <mergeCell ref="G93:G98"/>
    <mergeCell ref="G99:G102"/>
    <mergeCell ref="H99:H102"/>
    <mergeCell ref="J99:J102"/>
    <mergeCell ref="H103:H104"/>
    <mergeCell ref="G108:G110"/>
    <mergeCell ref="G111:G112"/>
    <mergeCell ref="G86:G92"/>
    <mergeCell ref="H86:H92"/>
    <mergeCell ref="J86:J92"/>
    <mergeCell ref="O86:O92"/>
    <mergeCell ref="H93:H98"/>
    <mergeCell ref="J93:J98"/>
    <mergeCell ref="O93:O98"/>
    <mergeCell ref="I8:I9"/>
    <mergeCell ref="J8:J9"/>
    <mergeCell ref="K8:K9"/>
    <mergeCell ref="I14:I15"/>
    <mergeCell ref="J14:J15"/>
    <mergeCell ref="K14:K15"/>
    <mergeCell ref="B1:C1"/>
    <mergeCell ref="B2:G2"/>
    <mergeCell ref="J2:K2"/>
    <mergeCell ref="I3:N3"/>
    <mergeCell ref="B4:B5"/>
    <mergeCell ref="C4:C5"/>
    <mergeCell ref="C6:C7"/>
    <mergeCell ref="B6:B7"/>
    <mergeCell ref="B8:B10"/>
    <mergeCell ref="C8:C10"/>
    <mergeCell ref="B11:B13"/>
    <mergeCell ref="C11:C13"/>
    <mergeCell ref="B14:B16"/>
    <mergeCell ref="C14:C16"/>
    <mergeCell ref="B24:B25"/>
    <mergeCell ref="B26:B28"/>
    <mergeCell ref="C26:C28"/>
    <mergeCell ref="I26:I27"/>
    <mergeCell ref="J26:J27"/>
    <mergeCell ref="K26:K27"/>
    <mergeCell ref="B29:B31"/>
    <mergeCell ref="C29:C31"/>
    <mergeCell ref="I29:I30"/>
    <mergeCell ref="J29:J30"/>
    <mergeCell ref="K29:K30"/>
    <mergeCell ref="B32:B34"/>
    <mergeCell ref="C32:C34"/>
    <mergeCell ref="I32:I33"/>
    <mergeCell ref="J32:J33"/>
    <mergeCell ref="K32:K33"/>
    <mergeCell ref="B35:B36"/>
    <mergeCell ref="C35:C36"/>
    <mergeCell ref="C43:C45"/>
    <mergeCell ref="I43:I44"/>
    <mergeCell ref="J43:J44"/>
    <mergeCell ref="K43:K44"/>
    <mergeCell ref="I46:I47"/>
    <mergeCell ref="J46:J47"/>
    <mergeCell ref="I49:I50"/>
  </mergeCells>
  <conditionalFormatting sqref="C107">
    <cfRule type="notContainsBlanks" dxfId="7" priority="1">
      <formula>LEN(TRIM(C107))&gt;0</formula>
    </cfRule>
  </conditionalFormatting>
  <dataValidations>
    <dataValidation type="list" allowBlank="1" showErrorMessage="1" sqref="E11:E13">
      <formula1>"Tuna,Pipo,Mira,Pablo,Gustavo,Tavares,Tomás,Nico,Sobral,Medicina,Literatus,Enfermagem,-"</formula1>
    </dataValidation>
    <dataValidation type="list" allowBlank="1" showErrorMessage="1" sqref="L29:L30 L46:L47 L63:L64">
      <formula1>"Tuna,Gustavo,Mira,Pablo,Tavares,Pipo,Sobral,Nico,Medicina,Literatus,Enfermagem,-"</formula1>
    </dataValidation>
    <dataValidation type="list" allowBlank="1" showErrorMessage="1" sqref="E4:E10 E14:E23 E26:E27 E35:E43 E49:E60 E69:E79">
      <formula1>"Tuna,Pipo,Mira,Pablo,Gustavo,Tavares,Marco Paulo,Sobral,Medicina,Literatus,Enfermagem,-"</formula1>
    </dataValidation>
    <dataValidation type="list" allowBlank="1" showErrorMessage="1" sqref="N14 N32 N49 N52 N66">
      <formula1>"Apostas,Prodígio,Poço,Pedro,-"</formula1>
    </dataValidation>
    <dataValidation type="list" allowBlank="1" showErrorMessage="1" sqref="G6:G25 N29 G28:G38 G41:G42 N46:N47 G52:G55 G58:G62 N63 G66:G79">
      <formula1>"Apostas,Prodígio,Poço,-"</formula1>
    </dataValidation>
    <dataValidation type="list" allowBlank="1" showErrorMessage="1" sqref="E24:E25 E28:E34 E44:E48 E61:E68">
      <formula1>"Tuna,Pipo,Mira,Pablo,Tavares,Gustavo,Sobral,Medicina,Literatus,Enfermagem,-"</formula1>
    </dataValidation>
    <dataValidation type="list" allowBlank="1" showErrorMessage="1" sqref="P112">
      <formula1>"Nome"</formula1>
    </dataValidation>
    <dataValidation type="list" allowBlank="1" showErrorMessage="1" sqref="K8 K14 K26 K32 K43 K49 K52 K60 K66">
      <formula1>"17h00,19h00,17h30"</formula1>
    </dataValidation>
    <dataValidation type="list" allowBlank="1" showErrorMessage="1" sqref="K29 K46:K47 K63">
      <formula1>"17h30,19h00,18h30"</formula1>
    </dataValidation>
    <dataValidation type="list" allowBlank="1" showErrorMessage="1" sqref="N8 N26 N43 N60">
      <formula1>"Apostas,Prodígio,Poço,-,Pedro"</formula1>
    </dataValidation>
    <dataValidation type="list" allowBlank="1" showErrorMessage="1" sqref="P114">
      <formula1>"-"</formula1>
    </dataValidation>
    <dataValidation type="list" allowBlank="1" showErrorMessage="1" sqref="D4:D76">
      <formula1>"16h00,19h00,18h00,19h30,21h00,21h15,21h30"</formula1>
    </dataValidation>
    <dataValidation type="list" allowBlank="1" showErrorMessage="1" sqref="P113">
      <formula1>"Nome"</formula1>
    </dataValidation>
    <dataValidation type="list" allowBlank="1" showErrorMessage="1" sqref="D77:D79">
      <formula1>"19h00,18h00,19h30,21h00,21h30,16h00"</formula1>
    </dataValidation>
    <dataValidation type="list" allowBlank="1" showErrorMessage="1" sqref="L8:L9 L14:L15 L26:L27 L32:L33 L43:L44 L49:L50 L52:L53 L60:L61 L66:L67">
      <formula1>"Tuna,Gustavo,Mira,Pablo,Tavares,Pipo,Sobral,Medicina,Literatus,Enfermagem,-"</formula1>
    </dataValidation>
    <dataValidation type="list" allowBlank="1" showErrorMessage="1" sqref="P115">
      <formula1>" -"</formula1>
    </dataValidation>
    <dataValidation type="list" allowBlank="1" showErrorMessage="1" sqref="M8 M14 M26 M29 M32 M43 M46:M47 M49 M52 M60 M63 M66 F4:F79">
      <formula1>"Gift,Monte,Sorte,Afonso,Geni,JP,-"</formula1>
    </dataValidation>
    <dataValidation type="custom" allowBlank="1" showDropDown="1" sqref="M86:M102 F86:F102 F108:F110 K108:K111">
      <formula1>AND(ISNUMBER(F86),(NOT(OR(NOT(ISERROR(DATEVALUE(F86))), AND(ISNUMBER(F86), LEFT(CELL("format", F86))="D")))))</formula1>
    </dataValidation>
    <dataValidation type="list" allowBlank="1" showErrorMessage="1" sqref="G39:G40 G43:G51 G56:G57">
      <formula1>"Apostas,Prodígio,Poço,Gift,Pedro,-"</formula1>
    </dataValidation>
    <dataValidation type="list" allowBlank="1" showErrorMessage="1" sqref="G4:G5 G26:G27 G63:G65">
      <formula1>"Apostas,Prodígio,Poço,Pedro,Canholas,-"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25"/>
    <col customWidth="1" min="13" max="13" width="13.0"/>
    <col customWidth="1" min="14" max="14" width="14.13"/>
  </cols>
  <sheetData>
    <row r="1">
      <c r="A1" s="1"/>
      <c r="B1" s="2" t="s">
        <v>1</v>
      </c>
    </row>
    <row r="2">
      <c r="A2" s="3"/>
      <c r="B2" s="4" t="s">
        <v>199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10</v>
      </c>
      <c r="J3" s="12"/>
      <c r="K3" s="12"/>
      <c r="L3" s="12"/>
      <c r="M3" s="12"/>
      <c r="N3" s="13"/>
    </row>
    <row r="4">
      <c r="A4" s="14"/>
      <c r="B4" s="25" t="s">
        <v>31</v>
      </c>
      <c r="C4" s="26">
        <v>1.0</v>
      </c>
      <c r="D4" s="17" t="s">
        <v>12</v>
      </c>
      <c r="E4" s="19" t="s">
        <v>30</v>
      </c>
      <c r="F4" s="18" t="s">
        <v>34</v>
      </c>
      <c r="G4" s="18" t="s">
        <v>15</v>
      </c>
      <c r="I4" s="194"/>
      <c r="J4" s="194"/>
      <c r="K4" s="194"/>
      <c r="L4" s="194"/>
      <c r="M4" s="194"/>
      <c r="N4" s="194"/>
    </row>
    <row r="5">
      <c r="A5" s="14"/>
      <c r="B5" s="23"/>
      <c r="C5" s="23"/>
      <c r="D5" s="17" t="s">
        <v>16</v>
      </c>
      <c r="E5" s="19" t="s">
        <v>30</v>
      </c>
      <c r="F5" s="18" t="s">
        <v>34</v>
      </c>
      <c r="G5" s="18" t="s">
        <v>15</v>
      </c>
      <c r="I5" s="262" t="s">
        <v>31</v>
      </c>
      <c r="J5" s="196"/>
      <c r="K5" s="197" t="s">
        <v>200</v>
      </c>
      <c r="L5" s="198"/>
      <c r="M5" s="199"/>
      <c r="N5" s="31"/>
    </row>
    <row r="6">
      <c r="A6" s="14"/>
      <c r="B6" s="191" t="s">
        <v>11</v>
      </c>
      <c r="C6" s="192">
        <v>2.0</v>
      </c>
      <c r="D6" s="17" t="s">
        <v>27</v>
      </c>
      <c r="E6" s="18" t="s">
        <v>13</v>
      </c>
      <c r="F6" s="18" t="s">
        <v>14</v>
      </c>
      <c r="G6" s="19" t="s">
        <v>15</v>
      </c>
      <c r="I6" s="200"/>
      <c r="L6" s="30"/>
      <c r="M6" s="201"/>
      <c r="N6" s="36"/>
    </row>
    <row r="7">
      <c r="A7" s="14" t="s">
        <v>212</v>
      </c>
      <c r="B7" s="191" t="s">
        <v>17</v>
      </c>
      <c r="C7" s="192">
        <v>3.0</v>
      </c>
      <c r="D7" s="17" t="s">
        <v>27</v>
      </c>
      <c r="E7" s="18" t="s">
        <v>13</v>
      </c>
      <c r="F7" s="18" t="s">
        <v>14</v>
      </c>
      <c r="G7" s="19" t="s">
        <v>19</v>
      </c>
      <c r="I7" s="20"/>
      <c r="J7" s="21"/>
      <c r="K7" s="21"/>
      <c r="L7" s="21"/>
      <c r="M7" s="21"/>
      <c r="N7" s="22"/>
    </row>
    <row r="8">
      <c r="A8" s="14"/>
      <c r="B8" s="191" t="s">
        <v>21</v>
      </c>
      <c r="C8" s="192">
        <v>4.0</v>
      </c>
      <c r="D8" s="17" t="s">
        <v>27</v>
      </c>
      <c r="E8" s="18" t="s">
        <v>13</v>
      </c>
      <c r="F8" s="19" t="s">
        <v>18</v>
      </c>
      <c r="G8" s="18" t="s">
        <v>19</v>
      </c>
      <c r="I8" s="20"/>
      <c r="J8" s="21"/>
      <c r="K8" s="21"/>
      <c r="L8" s="21"/>
      <c r="M8" s="21"/>
      <c r="N8" s="22"/>
    </row>
    <row r="9">
      <c r="A9" s="14"/>
      <c r="B9" s="191" t="s">
        <v>23</v>
      </c>
      <c r="C9" s="192">
        <v>5.0</v>
      </c>
      <c r="D9" s="17" t="s">
        <v>27</v>
      </c>
      <c r="E9" s="18" t="s">
        <v>30</v>
      </c>
      <c r="F9" s="18" t="s">
        <v>35</v>
      </c>
      <c r="G9" s="18" t="s">
        <v>19</v>
      </c>
      <c r="I9" s="20"/>
      <c r="J9" s="21"/>
      <c r="K9" s="21"/>
      <c r="L9" s="21"/>
      <c r="M9" s="21"/>
      <c r="N9" s="22"/>
    </row>
    <row r="10">
      <c r="A10" s="14"/>
      <c r="B10" s="25" t="s">
        <v>25</v>
      </c>
      <c r="C10" s="26">
        <v>6.0</v>
      </c>
      <c r="D10" s="17" t="s">
        <v>12</v>
      </c>
      <c r="E10" s="19" t="s">
        <v>13</v>
      </c>
      <c r="F10" s="19" t="s">
        <v>18</v>
      </c>
      <c r="G10" s="18" t="s">
        <v>15</v>
      </c>
      <c r="I10" s="20"/>
      <c r="J10" s="21"/>
      <c r="K10" s="21"/>
      <c r="L10" s="21"/>
      <c r="M10" s="21"/>
      <c r="N10" s="22"/>
    </row>
    <row r="11">
      <c r="A11" s="14"/>
      <c r="B11" s="23"/>
      <c r="C11" s="23"/>
      <c r="D11" s="17" t="s">
        <v>16</v>
      </c>
      <c r="E11" s="19" t="s">
        <v>13</v>
      </c>
      <c r="F11" s="19" t="s">
        <v>18</v>
      </c>
      <c r="G11" s="18" t="s">
        <v>15</v>
      </c>
      <c r="I11" s="20"/>
      <c r="J11" s="21"/>
      <c r="K11" s="21"/>
      <c r="L11" s="21"/>
      <c r="M11" s="21"/>
      <c r="N11" s="22"/>
    </row>
    <row r="12">
      <c r="A12" s="14"/>
      <c r="B12" s="25" t="s">
        <v>29</v>
      </c>
      <c r="C12" s="26">
        <v>7.0</v>
      </c>
      <c r="D12" s="17" t="s">
        <v>12</v>
      </c>
      <c r="E12" s="18" t="s">
        <v>43</v>
      </c>
      <c r="F12" s="18" t="s">
        <v>34</v>
      </c>
      <c r="G12" s="18" t="s">
        <v>19</v>
      </c>
      <c r="I12" s="20"/>
      <c r="J12" s="21"/>
      <c r="K12" s="21"/>
      <c r="L12" s="21"/>
      <c r="M12" s="21"/>
      <c r="N12" s="22"/>
    </row>
    <row r="13">
      <c r="A13" s="14"/>
      <c r="B13" s="23"/>
      <c r="C13" s="23"/>
      <c r="D13" s="17" t="s">
        <v>16</v>
      </c>
      <c r="E13" s="18" t="s">
        <v>43</v>
      </c>
      <c r="F13" s="18" t="s">
        <v>34</v>
      </c>
      <c r="G13" s="18" t="s">
        <v>19</v>
      </c>
      <c r="I13" s="20"/>
      <c r="J13" s="21"/>
      <c r="K13" s="21"/>
      <c r="L13" s="21"/>
      <c r="M13" s="21"/>
      <c r="N13" s="22"/>
    </row>
    <row r="14">
      <c r="A14" s="14" t="s">
        <v>212</v>
      </c>
      <c r="B14" s="25" t="s">
        <v>31</v>
      </c>
      <c r="C14" s="26">
        <v>8.0</v>
      </c>
      <c r="D14" s="17" t="s">
        <v>12</v>
      </c>
      <c r="E14" s="19" t="s">
        <v>30</v>
      </c>
      <c r="F14" s="18" t="s">
        <v>14</v>
      </c>
      <c r="G14" s="18" t="s">
        <v>15</v>
      </c>
      <c r="I14" s="27" t="s">
        <v>31</v>
      </c>
      <c r="J14" s="46">
        <v>8.0</v>
      </c>
      <c r="K14" s="44" t="s">
        <v>200</v>
      </c>
      <c r="L14" s="30" t="s">
        <v>28</v>
      </c>
      <c r="M14" s="30" t="s">
        <v>34</v>
      </c>
      <c r="N14" s="214" t="s">
        <v>19</v>
      </c>
    </row>
    <row r="15">
      <c r="A15" s="14"/>
      <c r="B15" s="23"/>
      <c r="C15" s="23"/>
      <c r="D15" s="17" t="s">
        <v>16</v>
      </c>
      <c r="E15" s="19" t="s">
        <v>30</v>
      </c>
      <c r="F15" s="18" t="s">
        <v>14</v>
      </c>
      <c r="G15" s="18" t="s">
        <v>15</v>
      </c>
      <c r="I15" s="32"/>
      <c r="J15" s="45"/>
      <c r="K15" s="45"/>
      <c r="L15" s="30" t="s">
        <v>43</v>
      </c>
      <c r="M15" s="35"/>
      <c r="N15" s="190"/>
    </row>
    <row r="16">
      <c r="A16" s="14"/>
      <c r="B16" s="191" t="s">
        <v>11</v>
      </c>
      <c r="C16" s="192">
        <v>9.0</v>
      </c>
      <c r="D16" s="17" t="s">
        <v>27</v>
      </c>
      <c r="E16" s="18" t="s">
        <v>30</v>
      </c>
      <c r="F16" s="19" t="s">
        <v>14</v>
      </c>
      <c r="G16" s="18" t="s">
        <v>19</v>
      </c>
      <c r="I16" s="20"/>
      <c r="J16" s="21"/>
      <c r="K16" s="21"/>
      <c r="L16" s="21"/>
      <c r="M16" s="21"/>
      <c r="N16" s="22"/>
    </row>
    <row r="17">
      <c r="A17" s="14"/>
      <c r="B17" s="191" t="s">
        <v>17</v>
      </c>
      <c r="C17" s="192">
        <v>10.0</v>
      </c>
      <c r="D17" s="17" t="s">
        <v>27</v>
      </c>
      <c r="E17" s="18" t="s">
        <v>30</v>
      </c>
      <c r="F17" s="18" t="s">
        <v>18</v>
      </c>
      <c r="G17" s="18" t="s">
        <v>15</v>
      </c>
      <c r="I17" s="263" t="s">
        <v>213</v>
      </c>
      <c r="J17" s="46">
        <v>10.0</v>
      </c>
      <c r="K17" s="44" t="s">
        <v>27</v>
      </c>
      <c r="L17" s="30" t="s">
        <v>13</v>
      </c>
      <c r="M17" s="47" t="s">
        <v>14</v>
      </c>
      <c r="N17" s="214" t="s">
        <v>19</v>
      </c>
    </row>
    <row r="18">
      <c r="A18" s="14"/>
      <c r="B18" s="191" t="s">
        <v>21</v>
      </c>
      <c r="C18" s="192">
        <v>11.0</v>
      </c>
      <c r="D18" s="17" t="s">
        <v>27</v>
      </c>
      <c r="E18" s="18" t="s">
        <v>44</v>
      </c>
      <c r="F18" s="18" t="s">
        <v>35</v>
      </c>
      <c r="G18" s="18" t="s">
        <v>15</v>
      </c>
      <c r="I18" s="20"/>
      <c r="J18" s="21"/>
      <c r="K18" s="21"/>
      <c r="L18" s="21"/>
      <c r="M18" s="21"/>
      <c r="N18" s="22"/>
    </row>
    <row r="19">
      <c r="A19" s="14" t="s">
        <v>212</v>
      </c>
      <c r="B19" s="191" t="s">
        <v>23</v>
      </c>
      <c r="C19" s="192">
        <v>12.0</v>
      </c>
      <c r="D19" s="17" t="s">
        <v>27</v>
      </c>
      <c r="E19" s="18" t="s">
        <v>13</v>
      </c>
      <c r="F19" s="18" t="s">
        <v>35</v>
      </c>
      <c r="G19" s="18" t="s">
        <v>15</v>
      </c>
      <c r="I19" s="20"/>
      <c r="J19" s="21"/>
      <c r="K19" s="21"/>
      <c r="L19" s="21"/>
      <c r="M19" s="21"/>
      <c r="N19" s="22"/>
    </row>
    <row r="20">
      <c r="A20" s="14"/>
      <c r="B20" s="25" t="s">
        <v>25</v>
      </c>
      <c r="C20" s="26">
        <v>13.0</v>
      </c>
      <c r="D20" s="17" t="s">
        <v>12</v>
      </c>
      <c r="E20" s="18" t="s">
        <v>13</v>
      </c>
      <c r="F20" s="18" t="s">
        <v>35</v>
      </c>
      <c r="G20" s="18" t="s">
        <v>19</v>
      </c>
      <c r="I20" s="20"/>
      <c r="J20" s="21"/>
      <c r="K20" s="21"/>
      <c r="L20" s="21"/>
      <c r="M20" s="21"/>
      <c r="N20" s="22"/>
    </row>
    <row r="21">
      <c r="A21" s="14"/>
      <c r="B21" s="23"/>
      <c r="C21" s="23"/>
      <c r="D21" s="17" t="s">
        <v>16</v>
      </c>
      <c r="E21" s="18" t="s">
        <v>13</v>
      </c>
      <c r="F21" s="18" t="s">
        <v>35</v>
      </c>
      <c r="G21" s="18" t="s">
        <v>19</v>
      </c>
      <c r="I21" s="20"/>
      <c r="J21" s="21"/>
      <c r="K21" s="21"/>
      <c r="L21" s="21"/>
      <c r="M21" s="21"/>
      <c r="N21" s="22"/>
    </row>
    <row r="22">
      <c r="A22" s="14"/>
      <c r="B22" s="25" t="s">
        <v>29</v>
      </c>
      <c r="C22" s="26">
        <v>14.0</v>
      </c>
      <c r="D22" s="17" t="s">
        <v>12</v>
      </c>
      <c r="E22" s="19" t="s">
        <v>30</v>
      </c>
      <c r="F22" s="18" t="s">
        <v>34</v>
      </c>
      <c r="G22" s="18" t="s">
        <v>15</v>
      </c>
      <c r="I22" s="20"/>
      <c r="J22" s="21"/>
      <c r="K22" s="21"/>
      <c r="L22" s="21"/>
      <c r="M22" s="21"/>
      <c r="N22" s="22"/>
    </row>
    <row r="23">
      <c r="A23" s="14"/>
      <c r="B23" s="23"/>
      <c r="C23" s="23"/>
      <c r="D23" s="17" t="s">
        <v>16</v>
      </c>
      <c r="E23" s="19" t="s">
        <v>30</v>
      </c>
      <c r="F23" s="18" t="s">
        <v>34</v>
      </c>
      <c r="G23" s="18" t="s">
        <v>15</v>
      </c>
      <c r="I23" s="20"/>
      <c r="J23" s="21"/>
      <c r="K23" s="21"/>
      <c r="L23" s="21"/>
      <c r="M23" s="21"/>
      <c r="N23" s="22"/>
    </row>
    <row r="24">
      <c r="A24" s="14" t="s">
        <v>214</v>
      </c>
      <c r="B24" s="25" t="s">
        <v>31</v>
      </c>
      <c r="C24" s="26">
        <v>15.0</v>
      </c>
      <c r="D24" s="17" t="s">
        <v>12</v>
      </c>
      <c r="E24" s="19" t="s">
        <v>30</v>
      </c>
      <c r="F24" s="19" t="s">
        <v>18</v>
      </c>
      <c r="G24" s="18" t="s">
        <v>19</v>
      </c>
      <c r="I24" s="27" t="s">
        <v>31</v>
      </c>
      <c r="J24" s="46">
        <v>15.0</v>
      </c>
      <c r="K24" s="44" t="s">
        <v>27</v>
      </c>
      <c r="L24" s="30" t="s">
        <v>43</v>
      </c>
      <c r="M24" s="30" t="s">
        <v>34</v>
      </c>
      <c r="N24" s="214" t="s">
        <v>50</v>
      </c>
    </row>
    <row r="25">
      <c r="A25" s="14"/>
      <c r="B25" s="23"/>
      <c r="C25" s="23"/>
      <c r="D25" s="17" t="s">
        <v>16</v>
      </c>
      <c r="E25" s="19" t="s">
        <v>30</v>
      </c>
      <c r="F25" s="19" t="s">
        <v>18</v>
      </c>
      <c r="G25" s="18" t="s">
        <v>19</v>
      </c>
      <c r="I25" s="32"/>
      <c r="J25" s="45"/>
      <c r="K25" s="45"/>
      <c r="L25" s="30" t="s">
        <v>28</v>
      </c>
      <c r="M25" s="35"/>
      <c r="N25" s="190"/>
    </row>
    <row r="26">
      <c r="A26" s="14"/>
      <c r="B26" s="191" t="s">
        <v>11</v>
      </c>
      <c r="C26" s="192">
        <v>16.0</v>
      </c>
      <c r="D26" s="17" t="s">
        <v>27</v>
      </c>
      <c r="E26" s="18" t="s">
        <v>30</v>
      </c>
      <c r="F26" s="18" t="s">
        <v>35</v>
      </c>
      <c r="G26" s="18" t="s">
        <v>15</v>
      </c>
      <c r="I26" s="20"/>
      <c r="J26" s="21"/>
      <c r="K26" s="21"/>
      <c r="L26" s="21"/>
      <c r="M26" s="21"/>
      <c r="N26" s="22"/>
    </row>
    <row r="27">
      <c r="A27" s="14"/>
      <c r="B27" s="191" t="s">
        <v>17</v>
      </c>
      <c r="C27" s="192">
        <v>17.0</v>
      </c>
      <c r="D27" s="17" t="s">
        <v>27</v>
      </c>
      <c r="E27" s="18" t="s">
        <v>13</v>
      </c>
      <c r="F27" s="18" t="s">
        <v>14</v>
      </c>
      <c r="G27" s="19" t="s">
        <v>19</v>
      </c>
      <c r="I27" s="20"/>
      <c r="J27" s="21"/>
      <c r="K27" s="21"/>
      <c r="L27" s="21"/>
      <c r="M27" s="21"/>
      <c r="N27" s="22"/>
    </row>
    <row r="28">
      <c r="A28" s="14"/>
      <c r="B28" s="191" t="s">
        <v>21</v>
      </c>
      <c r="C28" s="192">
        <v>18.0</v>
      </c>
      <c r="D28" s="17" t="s">
        <v>27</v>
      </c>
      <c r="E28" s="18" t="s">
        <v>44</v>
      </c>
      <c r="F28" s="19" t="s">
        <v>26</v>
      </c>
      <c r="G28" s="19" t="s">
        <v>19</v>
      </c>
      <c r="I28" s="20"/>
      <c r="J28" s="21"/>
      <c r="K28" s="21"/>
      <c r="L28" s="21"/>
      <c r="M28" s="21"/>
      <c r="N28" s="22"/>
    </row>
    <row r="29">
      <c r="A29" s="14" t="s">
        <v>212</v>
      </c>
      <c r="B29" s="191" t="s">
        <v>23</v>
      </c>
      <c r="C29" s="192">
        <v>19.0</v>
      </c>
      <c r="D29" s="17" t="s">
        <v>27</v>
      </c>
      <c r="E29" s="18" t="s">
        <v>13</v>
      </c>
      <c r="F29" s="18" t="s">
        <v>14</v>
      </c>
      <c r="G29" s="18" t="s">
        <v>15</v>
      </c>
      <c r="I29" s="20"/>
      <c r="J29" s="21"/>
      <c r="K29" s="21"/>
      <c r="L29" s="21"/>
      <c r="M29" s="21"/>
      <c r="N29" s="22"/>
    </row>
    <row r="30">
      <c r="A30" s="14"/>
      <c r="B30" s="25" t="s">
        <v>25</v>
      </c>
      <c r="C30" s="26">
        <v>20.0</v>
      </c>
      <c r="D30" s="17" t="s">
        <v>12</v>
      </c>
      <c r="E30" s="19" t="s">
        <v>13</v>
      </c>
      <c r="F30" s="19" t="s">
        <v>26</v>
      </c>
      <c r="G30" s="18" t="s">
        <v>15</v>
      </c>
      <c r="I30" s="20"/>
      <c r="J30" s="21"/>
      <c r="K30" s="21"/>
      <c r="L30" s="21"/>
      <c r="M30" s="21"/>
      <c r="N30" s="22"/>
    </row>
    <row r="31">
      <c r="A31" s="14"/>
      <c r="B31" s="23"/>
      <c r="C31" s="23"/>
      <c r="D31" s="17" t="s">
        <v>16</v>
      </c>
      <c r="E31" s="19" t="s">
        <v>13</v>
      </c>
      <c r="F31" s="19" t="s">
        <v>26</v>
      </c>
      <c r="G31" s="18" t="s">
        <v>15</v>
      </c>
      <c r="I31" s="20"/>
      <c r="J31" s="21"/>
      <c r="K31" s="21"/>
      <c r="L31" s="21"/>
      <c r="M31" s="21"/>
      <c r="N31" s="22"/>
    </row>
    <row r="32">
      <c r="A32" s="14"/>
      <c r="B32" s="25" t="s">
        <v>29</v>
      </c>
      <c r="C32" s="26">
        <v>21.0</v>
      </c>
      <c r="D32" s="17" t="s">
        <v>12</v>
      </c>
      <c r="E32" s="18" t="s">
        <v>13</v>
      </c>
      <c r="F32" s="18" t="s">
        <v>26</v>
      </c>
      <c r="G32" s="18" t="s">
        <v>15</v>
      </c>
      <c r="I32" s="20"/>
      <c r="J32" s="21"/>
      <c r="K32" s="21"/>
      <c r="L32" s="21"/>
      <c r="M32" s="21"/>
      <c r="N32" s="22"/>
    </row>
    <row r="33">
      <c r="A33" s="14"/>
      <c r="B33" s="24"/>
      <c r="C33" s="24"/>
      <c r="D33" s="17" t="s">
        <v>16</v>
      </c>
      <c r="E33" s="18" t="s">
        <v>13</v>
      </c>
      <c r="F33" s="18" t="s">
        <v>26</v>
      </c>
      <c r="G33" s="18" t="s">
        <v>15</v>
      </c>
      <c r="I33" s="20"/>
      <c r="J33" s="21"/>
      <c r="K33" s="21"/>
      <c r="L33" s="21"/>
      <c r="M33" s="21"/>
      <c r="N33" s="22"/>
    </row>
    <row r="34">
      <c r="A34" s="14"/>
      <c r="B34" s="23"/>
      <c r="C34" s="23"/>
      <c r="D34" s="17" t="s">
        <v>20</v>
      </c>
      <c r="E34" s="18" t="s">
        <v>13</v>
      </c>
      <c r="F34" s="18" t="s">
        <v>26</v>
      </c>
      <c r="G34" s="18" t="s">
        <v>15</v>
      </c>
      <c r="I34" s="20"/>
      <c r="J34" s="21"/>
      <c r="K34" s="21"/>
      <c r="L34" s="21"/>
      <c r="M34" s="21"/>
      <c r="N34" s="22"/>
    </row>
    <row r="35">
      <c r="A35" s="14" t="s">
        <v>212</v>
      </c>
      <c r="B35" s="25" t="s">
        <v>31</v>
      </c>
      <c r="C35" s="26">
        <v>22.0</v>
      </c>
      <c r="D35" s="17" t="s">
        <v>12</v>
      </c>
      <c r="E35" s="19" t="s">
        <v>44</v>
      </c>
      <c r="F35" s="18" t="s">
        <v>35</v>
      </c>
      <c r="G35" s="18" t="s">
        <v>19</v>
      </c>
      <c r="I35" s="27" t="s">
        <v>31</v>
      </c>
      <c r="J35" s="46">
        <v>22.0</v>
      </c>
      <c r="K35" s="44" t="s">
        <v>27</v>
      </c>
      <c r="L35" s="30" t="s">
        <v>30</v>
      </c>
      <c r="M35" s="30" t="s">
        <v>26</v>
      </c>
      <c r="N35" s="214" t="s">
        <v>15</v>
      </c>
    </row>
    <row r="36">
      <c r="A36" s="14"/>
      <c r="B36" s="24"/>
      <c r="C36" s="24"/>
      <c r="D36" s="17" t="s">
        <v>16</v>
      </c>
      <c r="E36" s="19" t="s">
        <v>44</v>
      </c>
      <c r="F36" s="18" t="s">
        <v>35</v>
      </c>
      <c r="G36" s="18" t="s">
        <v>19</v>
      </c>
      <c r="I36" s="32"/>
      <c r="J36" s="45"/>
      <c r="K36" s="45"/>
      <c r="L36" s="30" t="s">
        <v>28</v>
      </c>
      <c r="M36" s="35"/>
      <c r="N36" s="190"/>
    </row>
    <row r="37">
      <c r="A37" s="14"/>
      <c r="B37" s="23"/>
      <c r="C37" s="23"/>
      <c r="D37" s="17" t="s">
        <v>20</v>
      </c>
      <c r="E37" s="19" t="s">
        <v>30</v>
      </c>
      <c r="F37" s="18" t="s">
        <v>35</v>
      </c>
      <c r="G37" s="18" t="s">
        <v>19</v>
      </c>
      <c r="I37" s="20"/>
      <c r="J37" s="21"/>
      <c r="K37" s="21"/>
      <c r="L37" s="21"/>
      <c r="M37" s="35"/>
      <c r="N37" s="190"/>
    </row>
    <row r="38">
      <c r="A38" s="14"/>
      <c r="B38" s="15" t="s">
        <v>11</v>
      </c>
      <c r="C38" s="16">
        <v>23.0</v>
      </c>
      <c r="D38" s="17" t="s">
        <v>12</v>
      </c>
      <c r="E38" s="18" t="s">
        <v>13</v>
      </c>
      <c r="F38" s="18" t="s">
        <v>18</v>
      </c>
      <c r="G38" s="18" t="s">
        <v>15</v>
      </c>
      <c r="I38" s="20"/>
      <c r="J38" s="21"/>
      <c r="K38" s="21"/>
      <c r="L38" s="21"/>
      <c r="M38" s="21"/>
      <c r="N38" s="22"/>
    </row>
    <row r="39">
      <c r="A39" s="14"/>
      <c r="B39" s="23"/>
      <c r="C39" s="23"/>
      <c r="D39" s="17" t="s">
        <v>16</v>
      </c>
      <c r="E39" s="18" t="s">
        <v>30</v>
      </c>
      <c r="F39" s="18" t="s">
        <v>14</v>
      </c>
      <c r="G39" s="18" t="s">
        <v>15</v>
      </c>
      <c r="I39" s="20"/>
      <c r="J39" s="21"/>
      <c r="K39" s="21"/>
      <c r="L39" s="21"/>
      <c r="M39" s="21"/>
      <c r="N39" s="22"/>
    </row>
    <row r="40">
      <c r="A40" s="14"/>
      <c r="B40" s="15" t="s">
        <v>17</v>
      </c>
      <c r="C40" s="16">
        <v>24.0</v>
      </c>
      <c r="D40" s="17" t="s">
        <v>12</v>
      </c>
      <c r="E40" s="18" t="s">
        <v>13</v>
      </c>
      <c r="F40" s="18" t="s">
        <v>18</v>
      </c>
      <c r="G40" s="19" t="s">
        <v>19</v>
      </c>
      <c r="I40" s="20"/>
      <c r="J40" s="21"/>
      <c r="K40" s="21"/>
      <c r="L40" s="21"/>
      <c r="M40" s="21"/>
      <c r="N40" s="22"/>
    </row>
    <row r="41">
      <c r="A41" s="14"/>
      <c r="B41" s="23"/>
      <c r="C41" s="23"/>
      <c r="D41" s="17" t="s">
        <v>16</v>
      </c>
      <c r="E41" s="18" t="s">
        <v>30</v>
      </c>
      <c r="F41" s="18" t="s">
        <v>14</v>
      </c>
      <c r="G41" s="19" t="s">
        <v>19</v>
      </c>
      <c r="I41" s="20"/>
      <c r="J41" s="21"/>
      <c r="K41" s="21"/>
      <c r="L41" s="21"/>
      <c r="M41" s="21"/>
      <c r="N41" s="22"/>
    </row>
    <row r="42">
      <c r="A42" s="14"/>
      <c r="B42" s="15" t="s">
        <v>21</v>
      </c>
      <c r="C42" s="16">
        <v>25.0</v>
      </c>
      <c r="D42" s="17" t="s">
        <v>12</v>
      </c>
      <c r="E42" s="18" t="s">
        <v>13</v>
      </c>
      <c r="F42" s="18" t="s">
        <v>18</v>
      </c>
      <c r="G42" s="18" t="s">
        <v>19</v>
      </c>
      <c r="I42" s="20"/>
      <c r="J42" s="21"/>
      <c r="K42" s="21"/>
      <c r="L42" s="21"/>
      <c r="M42" s="21"/>
      <c r="N42" s="22"/>
    </row>
    <row r="43">
      <c r="A43" s="14"/>
      <c r="B43" s="23"/>
      <c r="C43" s="23"/>
      <c r="D43" s="17" t="s">
        <v>16</v>
      </c>
      <c r="E43" s="18" t="s">
        <v>30</v>
      </c>
      <c r="F43" s="18" t="s">
        <v>18</v>
      </c>
      <c r="G43" s="18" t="s">
        <v>19</v>
      </c>
      <c r="I43" s="20"/>
      <c r="J43" s="21"/>
      <c r="K43" s="21"/>
      <c r="L43" s="21"/>
      <c r="M43" s="21"/>
      <c r="N43" s="22"/>
    </row>
    <row r="44">
      <c r="A44" s="14"/>
      <c r="B44" s="15" t="s">
        <v>23</v>
      </c>
      <c r="C44" s="16">
        <v>26.0</v>
      </c>
      <c r="D44" s="17" t="s">
        <v>12</v>
      </c>
      <c r="E44" s="18" t="s">
        <v>30</v>
      </c>
      <c r="F44" s="18" t="s">
        <v>34</v>
      </c>
      <c r="G44" s="18" t="s">
        <v>15</v>
      </c>
      <c r="I44" s="20"/>
      <c r="J44" s="21"/>
      <c r="K44" s="21"/>
      <c r="L44" s="21"/>
      <c r="M44" s="21"/>
      <c r="N44" s="22"/>
    </row>
    <row r="45">
      <c r="A45" s="14"/>
      <c r="B45" s="23"/>
      <c r="C45" s="23"/>
      <c r="D45" s="17" t="s">
        <v>16</v>
      </c>
      <c r="E45" s="18" t="s">
        <v>30</v>
      </c>
      <c r="F45" s="18" t="s">
        <v>14</v>
      </c>
      <c r="G45" s="18" t="s">
        <v>15</v>
      </c>
      <c r="I45" s="20"/>
      <c r="J45" s="21"/>
      <c r="K45" s="21"/>
      <c r="L45" s="21"/>
      <c r="M45" s="21"/>
      <c r="N45" s="22"/>
    </row>
    <row r="46">
      <c r="A46" s="14"/>
      <c r="B46" s="25" t="s">
        <v>25</v>
      </c>
      <c r="C46" s="26">
        <v>27.0</v>
      </c>
      <c r="D46" s="17" t="s">
        <v>12</v>
      </c>
      <c r="E46" s="19" t="s">
        <v>13</v>
      </c>
      <c r="F46" s="18" t="s">
        <v>26</v>
      </c>
      <c r="G46" s="18" t="s">
        <v>19</v>
      </c>
      <c r="I46" s="20"/>
      <c r="J46" s="21"/>
      <c r="K46" s="21"/>
      <c r="L46" s="21"/>
      <c r="M46" s="21"/>
      <c r="N46" s="22"/>
    </row>
    <row r="47">
      <c r="A47" s="14"/>
      <c r="B47" s="24"/>
      <c r="C47" s="24"/>
      <c r="D47" s="17" t="s">
        <v>16</v>
      </c>
      <c r="E47" s="19" t="s">
        <v>13</v>
      </c>
      <c r="F47" s="18" t="s">
        <v>26</v>
      </c>
      <c r="G47" s="18" t="s">
        <v>19</v>
      </c>
      <c r="I47" s="20"/>
      <c r="J47" s="21"/>
      <c r="K47" s="21"/>
      <c r="L47" s="21"/>
      <c r="M47" s="21"/>
      <c r="N47" s="22"/>
    </row>
    <row r="48">
      <c r="A48" s="14"/>
      <c r="B48" s="23"/>
      <c r="C48" s="23"/>
      <c r="D48" s="17" t="s">
        <v>20</v>
      </c>
      <c r="E48" s="19" t="s">
        <v>13</v>
      </c>
      <c r="F48" s="18" t="s">
        <v>26</v>
      </c>
      <c r="G48" s="18" t="s">
        <v>19</v>
      </c>
      <c r="I48" s="20"/>
      <c r="J48" s="21"/>
      <c r="K48" s="21"/>
      <c r="L48" s="21"/>
      <c r="M48" s="21"/>
      <c r="N48" s="22"/>
    </row>
    <row r="49">
      <c r="A49" s="14"/>
      <c r="B49" s="25" t="s">
        <v>29</v>
      </c>
      <c r="C49" s="26">
        <v>28.0</v>
      </c>
      <c r="D49" s="17" t="s">
        <v>12</v>
      </c>
      <c r="E49" s="18" t="s">
        <v>30</v>
      </c>
      <c r="F49" s="18" t="s">
        <v>34</v>
      </c>
      <c r="G49" s="18" t="s">
        <v>19</v>
      </c>
      <c r="I49" s="20"/>
      <c r="J49" s="21"/>
      <c r="K49" s="21"/>
      <c r="L49" s="21"/>
      <c r="M49" s="21"/>
      <c r="N49" s="22"/>
    </row>
    <row r="50">
      <c r="A50" s="14"/>
      <c r="B50" s="24"/>
      <c r="C50" s="24"/>
      <c r="D50" s="17" t="s">
        <v>16</v>
      </c>
      <c r="E50" s="18" t="s">
        <v>30</v>
      </c>
      <c r="F50" s="18" t="s">
        <v>34</v>
      </c>
      <c r="G50" s="18" t="s">
        <v>19</v>
      </c>
      <c r="I50" s="20"/>
      <c r="J50" s="21"/>
      <c r="K50" s="21"/>
      <c r="L50" s="21"/>
      <c r="M50" s="21"/>
      <c r="N50" s="22"/>
    </row>
    <row r="51">
      <c r="A51" s="14"/>
      <c r="B51" s="23"/>
      <c r="C51" s="23"/>
      <c r="D51" s="17" t="s">
        <v>20</v>
      </c>
      <c r="E51" s="18" t="s">
        <v>30</v>
      </c>
      <c r="F51" s="18" t="s">
        <v>34</v>
      </c>
      <c r="G51" s="18" t="s">
        <v>19</v>
      </c>
      <c r="I51" s="20"/>
      <c r="J51" s="21"/>
      <c r="K51" s="21"/>
      <c r="L51" s="21"/>
      <c r="M51" s="21"/>
      <c r="N51" s="22"/>
    </row>
    <row r="52">
      <c r="A52" s="14"/>
      <c r="B52" s="25" t="s">
        <v>31</v>
      </c>
      <c r="C52" s="26">
        <v>29.0</v>
      </c>
      <c r="D52" s="17" t="s">
        <v>12</v>
      </c>
      <c r="E52" s="18" t="s">
        <v>13</v>
      </c>
      <c r="F52" s="18" t="s">
        <v>26</v>
      </c>
      <c r="G52" s="18" t="s">
        <v>19</v>
      </c>
      <c r="I52" s="27" t="s">
        <v>31</v>
      </c>
      <c r="J52" s="46">
        <v>29.0</v>
      </c>
      <c r="K52" s="44" t="s">
        <v>27</v>
      </c>
      <c r="L52" s="30" t="s">
        <v>30</v>
      </c>
      <c r="M52" s="30" t="s">
        <v>34</v>
      </c>
      <c r="N52" s="214" t="s">
        <v>15</v>
      </c>
    </row>
    <row r="53">
      <c r="A53" s="14"/>
      <c r="B53" s="24"/>
      <c r="C53" s="24"/>
      <c r="D53" s="17" t="s">
        <v>16</v>
      </c>
      <c r="E53" s="18" t="s">
        <v>13</v>
      </c>
      <c r="F53" s="18" t="s">
        <v>26</v>
      </c>
      <c r="G53" s="18" t="s">
        <v>19</v>
      </c>
      <c r="I53" s="32"/>
      <c r="J53" s="45"/>
      <c r="K53" s="45"/>
      <c r="L53" s="30" t="s">
        <v>28</v>
      </c>
      <c r="M53" s="35"/>
      <c r="N53" s="190"/>
    </row>
    <row r="54">
      <c r="A54" s="14"/>
      <c r="B54" s="23"/>
      <c r="C54" s="23"/>
      <c r="D54" s="17" t="s">
        <v>20</v>
      </c>
      <c r="E54" s="18" t="s">
        <v>13</v>
      </c>
      <c r="F54" s="18" t="s">
        <v>26</v>
      </c>
      <c r="G54" s="18" t="s">
        <v>19</v>
      </c>
      <c r="I54" s="20"/>
      <c r="J54" s="21"/>
      <c r="K54" s="21"/>
      <c r="L54" s="21"/>
      <c r="M54" s="35"/>
      <c r="N54" s="190"/>
    </row>
    <row r="55">
      <c r="A55" s="14"/>
      <c r="B55" s="15" t="s">
        <v>11</v>
      </c>
      <c r="C55" s="16">
        <v>30.0</v>
      </c>
      <c r="D55" s="17" t="s">
        <v>12</v>
      </c>
      <c r="E55" s="18" t="s">
        <v>13</v>
      </c>
      <c r="F55" s="19" t="s">
        <v>18</v>
      </c>
      <c r="G55" s="18" t="s">
        <v>19</v>
      </c>
      <c r="I55" s="20"/>
      <c r="J55" s="21"/>
      <c r="K55" s="21"/>
      <c r="L55" s="21"/>
      <c r="M55" s="21"/>
      <c r="N55" s="22"/>
    </row>
    <row r="56">
      <c r="A56" s="14"/>
      <c r="B56" s="23"/>
      <c r="C56" s="23"/>
      <c r="D56" s="17" t="s">
        <v>16</v>
      </c>
      <c r="E56" s="18" t="s">
        <v>30</v>
      </c>
      <c r="F56" s="19" t="s">
        <v>18</v>
      </c>
      <c r="G56" s="18" t="s">
        <v>19</v>
      </c>
      <c r="I56" s="20"/>
      <c r="J56" s="21"/>
      <c r="K56" s="21"/>
      <c r="L56" s="21"/>
      <c r="M56" s="21"/>
      <c r="N56" s="22"/>
    </row>
    <row r="57">
      <c r="A57" s="14"/>
      <c r="B57" s="15" t="s">
        <v>17</v>
      </c>
      <c r="C57" s="16">
        <v>31.0</v>
      </c>
      <c r="D57" s="17" t="s">
        <v>12</v>
      </c>
      <c r="E57" s="18" t="s">
        <v>13</v>
      </c>
      <c r="F57" s="19" t="s">
        <v>26</v>
      </c>
      <c r="G57" s="19" t="s">
        <v>19</v>
      </c>
      <c r="I57" s="20"/>
      <c r="J57" s="21"/>
      <c r="K57" s="21"/>
      <c r="L57" s="21"/>
      <c r="M57" s="21"/>
      <c r="N57" s="22"/>
    </row>
    <row r="58">
      <c r="A58" s="14"/>
      <c r="B58" s="23"/>
      <c r="C58" s="23"/>
      <c r="D58" s="17" t="s">
        <v>16</v>
      </c>
      <c r="E58" s="18" t="s">
        <v>13</v>
      </c>
      <c r="F58" s="19" t="s">
        <v>26</v>
      </c>
      <c r="G58" s="19" t="s">
        <v>19</v>
      </c>
      <c r="I58" s="20"/>
      <c r="J58" s="21"/>
      <c r="K58" s="21"/>
      <c r="L58" s="21"/>
      <c r="M58" s="21"/>
      <c r="N58" s="22"/>
    </row>
    <row r="59">
      <c r="A59" s="14"/>
      <c r="B59" s="191"/>
      <c r="C59" s="192"/>
      <c r="D59" s="17"/>
      <c r="E59" s="193"/>
      <c r="F59" s="193"/>
      <c r="G59" s="193"/>
      <c r="I59" s="20"/>
      <c r="J59" s="21"/>
      <c r="K59" s="21"/>
      <c r="L59" s="21"/>
      <c r="M59" s="21"/>
      <c r="N59" s="22"/>
    </row>
    <row r="60">
      <c r="E60" s="63">
        <f>COUNTIF(E4:E59, "Mira") + Countif(E4:E59, "Tuna")+ Countif(E4:E59, "Gustavo")+ Countif(E4:E59, "Pablo")+ Countif(E4:E59, "Tavares")+ Countif(E4:E59, "Sobral") + Countif(E4:E59, "Pipo")+ Countif(E4:E59, "Enfermagem")+ Countif(E4:E59, "Literatus")+ Countif(E4:E59, "Medicina")</f>
        <v>55</v>
      </c>
      <c r="F60" s="63">
        <f>Countif(F4:F59, "Gift") + Countif(F4:F59, "Monte") + Countif(F4:F59, "Sorte") + Countif(F4:F59, "Afonso") + Countif(F4:F59, "Geni") + Countif(F4:F59, "JP")</f>
        <v>55</v>
      </c>
      <c r="G60" s="63">
        <f>Countif(G4:G59, "Apostas") + Countif(G4:G59, "Prodígio") + Countif(G4:G59, "Tiago")</f>
        <v>55</v>
      </c>
      <c r="I60" s="60"/>
      <c r="J60" s="61"/>
      <c r="K60" s="61"/>
      <c r="L60" s="61"/>
      <c r="M60" s="61"/>
      <c r="N60" s="62"/>
    </row>
    <row r="61">
      <c r="L61" s="64">
        <f>COUNTIF(L4:L60, "Mira") + Countif(L4:L60, "Tuna")+ Countif(L4:L60, "Gustavo")+ Countif(L4:L60, "Pablo")+ Countif(L4:L60, "Tavares")+ Countif(L4:L60, "Sobral") + Countif(L4:L60, "Pipo")+ Countif(L4:L60, "Enfermagem")+ Countif(L4:L60, "Literatus")+ Countif(L4:L60, "Medicina")</f>
        <v>5</v>
      </c>
      <c r="M61" s="64">
        <f>Countif(M4:M55, "Gift") + Countif(M4:M55, "Monte") + Countif(M4:M55, "Sorte") + Countif(M4:M55, "Afonso") + Countif(M4:M55, "Geni") + Countif(M4:M55, "JP")</f>
        <v>5</v>
      </c>
      <c r="N61" s="64">
        <f>Countif(N4:N55, "Apostas") + Countif(N4:N55, "Prodígio") + Countif(N4:N55, "Poço")</f>
        <v>5</v>
      </c>
    </row>
    <row r="65" ht="22.5" customHeight="1">
      <c r="D65" s="65" t="s">
        <v>36</v>
      </c>
      <c r="E65" s="65" t="s">
        <v>215</v>
      </c>
      <c r="F65" s="65" t="s">
        <v>38</v>
      </c>
      <c r="G65" s="66" t="s">
        <v>39</v>
      </c>
      <c r="H65" s="67" t="s">
        <v>40</v>
      </c>
      <c r="K65" s="65" t="s">
        <v>36</v>
      </c>
      <c r="L65" s="65" t="s">
        <v>37</v>
      </c>
      <c r="M65" s="65" t="s">
        <v>38</v>
      </c>
      <c r="N65" s="66" t="s">
        <v>39</v>
      </c>
      <c r="O65" s="67" t="s">
        <v>40</v>
      </c>
      <c r="R65" s="68" t="s">
        <v>41</v>
      </c>
    </row>
    <row r="66" ht="22.5" customHeight="1">
      <c r="C66" s="69" t="s">
        <v>42</v>
      </c>
      <c r="D66" s="70" t="s">
        <v>22</v>
      </c>
      <c r="E66" s="264">
        <f>COUNTIF(E3:E59,"Tuna")</f>
        <v>0</v>
      </c>
      <c r="F66" s="72">
        <f>((60/3)*E66) + ((75/3)*COUNTIF(E32:E58,"Tuna"))</f>
        <v>0</v>
      </c>
      <c r="G66" s="73">
        <f>E60</f>
        <v>55</v>
      </c>
      <c r="H66" s="74">
        <f>SUM(F66:F72)</f>
        <v>1235</v>
      </c>
      <c r="J66" s="69" t="s">
        <v>42</v>
      </c>
      <c r="K66" s="70" t="s">
        <v>22</v>
      </c>
      <c r="L66" s="264">
        <f>COUNTIF(L1:L55,"Tuna")</f>
        <v>0</v>
      </c>
      <c r="M66" s="72">
        <f t="shared" ref="M66:M81" si="2">((75/3)*L66)</f>
        <v>0</v>
      </c>
      <c r="N66" s="73">
        <f t="shared" ref="N66:O66" si="1">SUM(L66:L72)</f>
        <v>5</v>
      </c>
      <c r="O66" s="74">
        <f t="shared" si="1"/>
        <v>125</v>
      </c>
      <c r="Q66" s="75" t="s">
        <v>22</v>
      </c>
      <c r="R66" s="76">
        <f t="shared" ref="R66:R82" si="3">SUM(F66,M66)</f>
        <v>0</v>
      </c>
    </row>
    <row r="67" ht="22.5" customHeight="1">
      <c r="C67" s="77"/>
      <c r="D67" s="78" t="s">
        <v>30</v>
      </c>
      <c r="E67" s="265">
        <f>COUNTIF(E3:E31,"Mira")</f>
        <v>12</v>
      </c>
      <c r="F67" s="80">
        <f>((60/3)*E67) + ((75/3)*COUNTIF(E32:E58,"Mira"))</f>
        <v>490</v>
      </c>
      <c r="G67" s="81"/>
      <c r="H67" s="82"/>
      <c r="J67" s="77"/>
      <c r="K67" s="78" t="s">
        <v>30</v>
      </c>
      <c r="L67" s="265">
        <f>COUNTIF(L1:L55,"Mira")</f>
        <v>2</v>
      </c>
      <c r="M67" s="80">
        <f t="shared" si="2"/>
        <v>50</v>
      </c>
      <c r="N67" s="81"/>
      <c r="O67" s="82"/>
      <c r="Q67" s="83" t="s">
        <v>30</v>
      </c>
      <c r="R67" s="76">
        <f t="shared" si="3"/>
        <v>540</v>
      </c>
    </row>
    <row r="68" ht="22.5" customHeight="1">
      <c r="C68" s="77"/>
      <c r="D68" s="78" t="s">
        <v>13</v>
      </c>
      <c r="E68" s="265">
        <f>COUNTIF(E3:E31,"Pipo")</f>
        <v>12</v>
      </c>
      <c r="F68" s="80">
        <f>((60/3)*E68) + ((75/3)*COUNTIF(E32:E58,"Pipo"))</f>
        <v>615</v>
      </c>
      <c r="G68" s="81"/>
      <c r="H68" s="82"/>
      <c r="J68" s="77"/>
      <c r="K68" s="78" t="s">
        <v>13</v>
      </c>
      <c r="L68" s="265">
        <f>COUNTIF(L1:L55,"Pipo")</f>
        <v>1</v>
      </c>
      <c r="M68" s="84">
        <f t="shared" si="2"/>
        <v>25</v>
      </c>
      <c r="N68" s="81"/>
      <c r="O68" s="82"/>
      <c r="Q68" s="83" t="s">
        <v>13</v>
      </c>
      <c r="R68" s="76">
        <f t="shared" si="3"/>
        <v>640</v>
      </c>
    </row>
    <row r="69" ht="22.5" customHeight="1">
      <c r="C69" s="77"/>
      <c r="D69" s="78" t="s">
        <v>43</v>
      </c>
      <c r="E69" s="265">
        <f>COUNTIF(E3:E31,"Pablo")</f>
        <v>2</v>
      </c>
      <c r="F69" s="84">
        <f>((60/3)*E69) + ((75/3)*COUNTIF(E32:E58,"Pablo))"))</f>
        <v>40</v>
      </c>
      <c r="G69" s="81"/>
      <c r="H69" s="82"/>
      <c r="J69" s="77"/>
      <c r="K69" s="78" t="s">
        <v>43</v>
      </c>
      <c r="L69" s="265">
        <f>COUNTIF(L1:L55,"Pablo")</f>
        <v>2</v>
      </c>
      <c r="M69" s="84">
        <f t="shared" si="2"/>
        <v>50</v>
      </c>
      <c r="N69" s="81"/>
      <c r="O69" s="82"/>
      <c r="Q69" s="83" t="s">
        <v>43</v>
      </c>
      <c r="R69" s="76">
        <f t="shared" si="3"/>
        <v>90</v>
      </c>
    </row>
    <row r="70" ht="22.5" customHeight="1">
      <c r="C70" s="77"/>
      <c r="D70" s="78" t="s">
        <v>44</v>
      </c>
      <c r="E70" s="265">
        <f>COUNTIF(E3:E31,"Tavares")</f>
        <v>2</v>
      </c>
      <c r="F70" s="84">
        <f>((60/3)*E70) + ((75/3)*COUNTIF(E32:E58,"Tavares"))</f>
        <v>90</v>
      </c>
      <c r="G70" s="81"/>
      <c r="H70" s="82"/>
      <c r="J70" s="77"/>
      <c r="K70" s="78" t="s">
        <v>44</v>
      </c>
      <c r="L70" s="265">
        <f>COUNTIF(L1:L55,"Tavares")</f>
        <v>0</v>
      </c>
      <c r="M70" s="84">
        <f t="shared" si="2"/>
        <v>0</v>
      </c>
      <c r="N70" s="81"/>
      <c r="O70" s="82"/>
      <c r="Q70" s="83" t="s">
        <v>44</v>
      </c>
      <c r="R70" s="76">
        <f t="shared" si="3"/>
        <v>90</v>
      </c>
    </row>
    <row r="71" ht="22.5" customHeight="1">
      <c r="C71" s="77"/>
      <c r="D71" s="78" t="s">
        <v>201</v>
      </c>
      <c r="E71" s="265">
        <f>COUNTIF(E3:E31,"Gustavo")</f>
        <v>0</v>
      </c>
      <c r="F71" s="84">
        <f t="shared" ref="F71:F72" si="4">((60/3)*E71)</f>
        <v>0</v>
      </c>
      <c r="G71" s="81"/>
      <c r="H71" s="82"/>
      <c r="J71" s="77"/>
      <c r="K71" s="78" t="s">
        <v>201</v>
      </c>
      <c r="L71" s="265">
        <f>COUNTIF(L4:L62,"Gustavo")</f>
        <v>0</v>
      </c>
      <c r="M71" s="84">
        <f t="shared" si="2"/>
        <v>0</v>
      </c>
      <c r="N71" s="81"/>
      <c r="O71" s="82"/>
      <c r="Q71" s="83" t="s">
        <v>201</v>
      </c>
      <c r="R71" s="76">
        <f t="shared" si="3"/>
        <v>0</v>
      </c>
    </row>
    <row r="72" ht="22.5" customHeight="1">
      <c r="C72" s="91"/>
      <c r="D72" s="92" t="s">
        <v>46</v>
      </c>
      <c r="E72" s="266">
        <f>COUNTIF(E3:E59,"Tomás")</f>
        <v>0</v>
      </c>
      <c r="F72" s="94">
        <f t="shared" si="4"/>
        <v>0</v>
      </c>
      <c r="G72" s="95"/>
      <c r="H72" s="96"/>
      <c r="J72" s="91"/>
      <c r="K72" s="92" t="s">
        <v>46</v>
      </c>
      <c r="L72" s="266">
        <f>COUNTIF(L2:L59,"Tomás")</f>
        <v>0</v>
      </c>
      <c r="M72" s="94">
        <f t="shared" si="2"/>
        <v>0</v>
      </c>
      <c r="N72" s="95"/>
      <c r="O72" s="96"/>
      <c r="Q72" s="97" t="s">
        <v>46</v>
      </c>
      <c r="R72" s="98">
        <f t="shared" si="3"/>
        <v>0</v>
      </c>
    </row>
    <row r="73" ht="22.5" customHeight="1">
      <c r="C73" s="69" t="s">
        <v>47</v>
      </c>
      <c r="D73" s="99" t="s">
        <v>35</v>
      </c>
      <c r="E73" s="267">
        <f>Countif(F3:F31,"Gift")</f>
        <v>6</v>
      </c>
      <c r="F73" s="101">
        <f>((60/3)*E73) + ((75/3)*Countif(F32:F58,"Gift"))</f>
        <v>195</v>
      </c>
      <c r="G73" s="102">
        <f>F60</f>
        <v>55</v>
      </c>
      <c r="H73" s="103">
        <f>SUM(F73:F78)</f>
        <v>1235</v>
      </c>
      <c r="J73" s="69" t="s">
        <v>47</v>
      </c>
      <c r="K73" s="99" t="s">
        <v>35</v>
      </c>
      <c r="L73" s="267">
        <f>Countif(M1:M55,"Gift")</f>
        <v>0</v>
      </c>
      <c r="M73" s="101">
        <f t="shared" si="2"/>
        <v>0</v>
      </c>
      <c r="N73" s="102">
        <f t="shared" ref="N73:O73" si="5">SUM(L73:L78)</f>
        <v>5</v>
      </c>
      <c r="O73" s="103">
        <f t="shared" si="5"/>
        <v>125</v>
      </c>
      <c r="Q73" s="104" t="s">
        <v>35</v>
      </c>
      <c r="R73" s="105">
        <f t="shared" si="3"/>
        <v>195</v>
      </c>
    </row>
    <row r="74" ht="22.5" customHeight="1">
      <c r="C74" s="77"/>
      <c r="D74" s="99" t="s">
        <v>34</v>
      </c>
      <c r="E74" s="267">
        <f>Countif(F3:F31,"Monte")</f>
        <v>6</v>
      </c>
      <c r="F74" s="101">
        <f>((60/3)*E74) + ((75/3)*Countif(F32:F58,"Monte"))</f>
        <v>220</v>
      </c>
      <c r="G74" s="106"/>
      <c r="H74" s="82"/>
      <c r="J74" s="77"/>
      <c r="K74" s="99" t="s">
        <v>34</v>
      </c>
      <c r="L74" s="267">
        <f>Countif(M1:M55,"Monte")</f>
        <v>3</v>
      </c>
      <c r="M74" s="101">
        <f t="shared" si="2"/>
        <v>75</v>
      </c>
      <c r="N74" s="106"/>
      <c r="O74" s="82"/>
      <c r="Q74" s="83" t="s">
        <v>34</v>
      </c>
      <c r="R74" s="76">
        <f t="shared" si="3"/>
        <v>295</v>
      </c>
    </row>
    <row r="75" ht="22.5" customHeight="1">
      <c r="C75" s="77"/>
      <c r="D75" s="99" t="s">
        <v>26</v>
      </c>
      <c r="E75" s="267">
        <f>Countif(F3:F31,"Sorte")</f>
        <v>3</v>
      </c>
      <c r="F75" s="101">
        <f>((60/3)*E75) + ((75/3)*Countif(F32:F58,"Sorte"))</f>
        <v>335</v>
      </c>
      <c r="G75" s="106"/>
      <c r="H75" s="82"/>
      <c r="J75" s="77"/>
      <c r="K75" s="99" t="s">
        <v>26</v>
      </c>
      <c r="L75" s="267">
        <f>Countif(M1:M55,"Sorte")</f>
        <v>1</v>
      </c>
      <c r="M75" s="101">
        <f t="shared" si="2"/>
        <v>25</v>
      </c>
      <c r="N75" s="106"/>
      <c r="O75" s="82"/>
      <c r="Q75" s="83" t="s">
        <v>26</v>
      </c>
      <c r="R75" s="76">
        <f t="shared" si="3"/>
        <v>360</v>
      </c>
    </row>
    <row r="76" ht="22.5" customHeight="1">
      <c r="C76" s="77"/>
      <c r="D76" s="99" t="s">
        <v>14</v>
      </c>
      <c r="E76" s="267">
        <f>Countif(F3:F31,"Afonso")</f>
        <v>7</v>
      </c>
      <c r="F76" s="101">
        <f>((60/3)*E76) + ((75/3)*Countif(F32:F58,"Afonso"))</f>
        <v>215</v>
      </c>
      <c r="G76" s="106"/>
      <c r="H76" s="82"/>
      <c r="J76" s="77"/>
      <c r="K76" s="99" t="s">
        <v>14</v>
      </c>
      <c r="L76" s="267">
        <f>Countif(M1:M55,"Afonso")</f>
        <v>1</v>
      </c>
      <c r="M76" s="101">
        <f t="shared" si="2"/>
        <v>25</v>
      </c>
      <c r="N76" s="106"/>
      <c r="O76" s="82"/>
      <c r="Q76" s="83" t="s">
        <v>14</v>
      </c>
      <c r="R76" s="76">
        <f t="shared" si="3"/>
        <v>240</v>
      </c>
    </row>
    <row r="77" ht="22.5" customHeight="1">
      <c r="C77" s="77"/>
      <c r="D77" s="99" t="s">
        <v>18</v>
      </c>
      <c r="E77" s="267">
        <f>Countif(F3:F31,"Geni")</f>
        <v>6</v>
      </c>
      <c r="F77" s="108">
        <f>((60/3)*E77) + ((75/3)*Countif(F32:F58,"Geni"))</f>
        <v>270</v>
      </c>
      <c r="G77" s="106"/>
      <c r="H77" s="82"/>
      <c r="J77" s="77"/>
      <c r="K77" s="99" t="s">
        <v>18</v>
      </c>
      <c r="L77" s="267">
        <f>Countif(M1:M55,"Geni")</f>
        <v>0</v>
      </c>
      <c r="M77" s="101">
        <f t="shared" si="2"/>
        <v>0</v>
      </c>
      <c r="N77" s="106"/>
      <c r="O77" s="82"/>
      <c r="Q77" s="83" t="s">
        <v>18</v>
      </c>
      <c r="R77" s="76">
        <f t="shared" si="3"/>
        <v>270</v>
      </c>
    </row>
    <row r="78" ht="22.5" customHeight="1">
      <c r="C78" s="91"/>
      <c r="D78" s="92" t="s">
        <v>48</v>
      </c>
      <c r="E78" s="267">
        <f>Countif(F3:F59,"JP")</f>
        <v>0</v>
      </c>
      <c r="F78" s="87">
        <f>((60/3)*E78)</f>
        <v>0</v>
      </c>
      <c r="G78" s="106"/>
      <c r="H78" s="82"/>
      <c r="J78" s="91"/>
      <c r="K78" s="92" t="s">
        <v>48</v>
      </c>
      <c r="L78" s="266">
        <f>Countif(M1:M55,"JP")</f>
        <v>0</v>
      </c>
      <c r="M78" s="94">
        <f t="shared" si="2"/>
        <v>0</v>
      </c>
      <c r="N78" s="106"/>
      <c r="O78" s="82"/>
      <c r="Q78" s="97" t="s">
        <v>48</v>
      </c>
      <c r="R78" s="98">
        <f t="shared" si="3"/>
        <v>0</v>
      </c>
    </row>
    <row r="79" ht="22.5" customHeight="1">
      <c r="C79" s="69" t="s">
        <v>49</v>
      </c>
      <c r="D79" s="114" t="s">
        <v>19</v>
      </c>
      <c r="E79" s="268">
        <f>Countif(G3:G31,"Apostas")</f>
        <v>12</v>
      </c>
      <c r="F79" s="112">
        <f>((60/3)*E79)+((75/3)*Countif(G32:G58,"Apostas"))</f>
        <v>740</v>
      </c>
      <c r="G79" s="73">
        <f>G60</f>
        <v>55</v>
      </c>
      <c r="H79" s="74">
        <f>SUM(F79:F81)</f>
        <v>1235</v>
      </c>
      <c r="J79" s="69" t="s">
        <v>49</v>
      </c>
      <c r="K79" s="114" t="s">
        <v>19</v>
      </c>
      <c r="L79" s="268">
        <f>Countif(N1:N55,"Apostas")</f>
        <v>2</v>
      </c>
      <c r="M79" s="112">
        <f t="shared" si="2"/>
        <v>50</v>
      </c>
      <c r="N79" s="73">
        <f t="shared" ref="N79:O79" si="6">SUM(L79:L81)</f>
        <v>5</v>
      </c>
      <c r="O79" s="74">
        <f t="shared" si="6"/>
        <v>125</v>
      </c>
      <c r="Q79" s="104" t="s">
        <v>19</v>
      </c>
      <c r="R79" s="105">
        <f t="shared" si="3"/>
        <v>790</v>
      </c>
    </row>
    <row r="80" ht="22.5" customHeight="1">
      <c r="C80" s="77"/>
      <c r="D80" s="120" t="s">
        <v>15</v>
      </c>
      <c r="E80" s="267">
        <f>Countif(G3:G31,"Prodígio")</f>
        <v>16</v>
      </c>
      <c r="F80" s="119">
        <f>((60/3)*E80)+((75/3)*Countif(G32:G58,"Prodígio"))</f>
        <v>495</v>
      </c>
      <c r="G80" s="81"/>
      <c r="H80" s="82"/>
      <c r="J80" s="77"/>
      <c r="K80" s="120" t="s">
        <v>15</v>
      </c>
      <c r="L80" s="267">
        <f>Countif(N1:N55,"Prodígio")</f>
        <v>2</v>
      </c>
      <c r="M80" s="119">
        <f t="shared" si="2"/>
        <v>50</v>
      </c>
      <c r="N80" s="81"/>
      <c r="O80" s="82"/>
      <c r="Q80" s="83" t="s">
        <v>15</v>
      </c>
      <c r="R80" s="76">
        <f t="shared" si="3"/>
        <v>545</v>
      </c>
    </row>
    <row r="81" ht="22.5" customHeight="1">
      <c r="C81" s="77"/>
      <c r="D81" s="120" t="s">
        <v>50</v>
      </c>
      <c r="E81" s="267">
        <f>Countif(G1:G59,"Poço")</f>
        <v>0</v>
      </c>
      <c r="F81" s="119">
        <f t="shared" ref="F81:F82" si="7">((60/3)*E81)</f>
        <v>0</v>
      </c>
      <c r="G81" s="81"/>
      <c r="H81" s="82"/>
      <c r="J81" s="77"/>
      <c r="K81" s="120" t="s">
        <v>50</v>
      </c>
      <c r="L81" s="267">
        <f>Countif(N1:N55,"Poço")</f>
        <v>1</v>
      </c>
      <c r="M81" s="119">
        <f t="shared" si="2"/>
        <v>25</v>
      </c>
      <c r="N81" s="81"/>
      <c r="O81" s="82"/>
      <c r="Q81" s="83" t="s">
        <v>50</v>
      </c>
      <c r="R81" s="76">
        <f t="shared" si="3"/>
        <v>25</v>
      </c>
    </row>
    <row r="82" ht="22.5" customHeight="1">
      <c r="C82" s="91"/>
      <c r="D82" s="222" t="s">
        <v>24</v>
      </c>
      <c r="E82" s="269">
        <f>Countif(G2:G60,"Pedro")</f>
        <v>0</v>
      </c>
      <c r="F82" s="129">
        <f t="shared" si="7"/>
        <v>0</v>
      </c>
      <c r="G82" s="130"/>
      <c r="H82" s="127"/>
      <c r="J82" s="91"/>
      <c r="K82" s="222" t="s">
        <v>24</v>
      </c>
      <c r="L82" s="269">
        <f>Countif(N2:N55,"Pedro")</f>
        <v>0</v>
      </c>
      <c r="M82" s="129">
        <f>((60/3)*L82)</f>
        <v>0</v>
      </c>
      <c r="N82" s="130"/>
      <c r="O82" s="127"/>
      <c r="Q82" s="131" t="s">
        <v>48</v>
      </c>
      <c r="R82" s="76">
        <f t="shared" si="3"/>
        <v>0</v>
      </c>
    </row>
    <row r="83">
      <c r="H83" s="132">
        <f>SUM(H66:H81)</f>
        <v>3705</v>
      </c>
      <c r="O83" s="132">
        <f>SUM(O66:O81)</f>
        <v>375</v>
      </c>
      <c r="Q83" s="133"/>
      <c r="R83" s="134">
        <f>SUM(H83+O83)</f>
        <v>4080</v>
      </c>
    </row>
    <row r="84">
      <c r="H84" s="135"/>
      <c r="O84" s="135"/>
      <c r="Q84" s="133"/>
      <c r="R84" s="135"/>
    </row>
    <row r="87" ht="22.5" customHeight="1">
      <c r="D87" s="136" t="s">
        <v>36</v>
      </c>
      <c r="E87" s="136" t="s">
        <v>37</v>
      </c>
      <c r="F87" s="136" t="s">
        <v>38</v>
      </c>
      <c r="G87" s="137" t="s">
        <v>40</v>
      </c>
      <c r="J87" s="138" t="s">
        <v>6</v>
      </c>
      <c r="K87" s="100" t="s">
        <v>51</v>
      </c>
      <c r="Q87" s="139" t="s">
        <v>52</v>
      </c>
    </row>
    <row r="88" ht="22.5" customHeight="1">
      <c r="C88" s="140" t="s">
        <v>53</v>
      </c>
      <c r="D88" s="141" t="s">
        <v>54</v>
      </c>
      <c r="E88" s="142">
        <f>COUNTIF(E23:E59,"Medicina")</f>
        <v>0</v>
      </c>
      <c r="F88" s="143">
        <f t="shared" ref="F88:F90" si="8">((60/3)*E88)</f>
        <v>0</v>
      </c>
      <c r="G88" s="144">
        <f>SUM(F88:F90)</f>
        <v>0</v>
      </c>
      <c r="J88" s="145" t="s">
        <v>55</v>
      </c>
      <c r="K88" s="146">
        <v>20.0</v>
      </c>
      <c r="P88" s="147"/>
      <c r="Q88" s="223" t="s">
        <v>56</v>
      </c>
      <c r="R88" s="224"/>
    </row>
    <row r="89" ht="22.5" customHeight="1">
      <c r="C89" s="116"/>
      <c r="D89" s="150" t="s">
        <v>57</v>
      </c>
      <c r="E89" s="88">
        <f>COUNTIF(E23:E59,"Literatus")</f>
        <v>0</v>
      </c>
      <c r="F89" s="151">
        <f t="shared" si="8"/>
        <v>0</v>
      </c>
      <c r="G89" s="152"/>
      <c r="J89" s="153" t="s">
        <v>58</v>
      </c>
      <c r="K89" s="154">
        <v>20.0</v>
      </c>
      <c r="P89" s="155"/>
      <c r="Q89" s="225" t="s">
        <v>59</v>
      </c>
      <c r="R89" s="226"/>
    </row>
    <row r="90" ht="22.5" customHeight="1">
      <c r="C90" s="124"/>
      <c r="D90" s="158" t="s">
        <v>60</v>
      </c>
      <c r="E90" s="159">
        <f>COUNTIF(E23:E59,"Enfermagem")</f>
        <v>0</v>
      </c>
      <c r="F90" s="160">
        <f t="shared" si="8"/>
        <v>0</v>
      </c>
      <c r="G90" s="161"/>
      <c r="J90" s="153" t="s">
        <v>61</v>
      </c>
      <c r="K90" s="154">
        <v>20.0</v>
      </c>
      <c r="P90" s="162"/>
      <c r="Q90" s="225" t="s">
        <v>62</v>
      </c>
      <c r="R90" s="226"/>
    </row>
    <row r="91" ht="22.5" customHeight="1">
      <c r="G91" s="163">
        <f>SUM(G88:G90)</f>
        <v>0</v>
      </c>
      <c r="J91" s="164" t="s">
        <v>63</v>
      </c>
      <c r="K91" s="165">
        <v>20.0</v>
      </c>
      <c r="P91" s="166"/>
      <c r="Q91" s="223" t="s">
        <v>64</v>
      </c>
      <c r="R91" s="224"/>
    </row>
    <row r="92">
      <c r="G92" s="161"/>
      <c r="P92" s="167" t="s">
        <v>65</v>
      </c>
      <c r="Q92" s="225" t="s">
        <v>66</v>
      </c>
      <c r="R92" s="226"/>
    </row>
    <row r="93">
      <c r="P93" s="168" t="s">
        <v>65</v>
      </c>
      <c r="Q93" s="225" t="s">
        <v>202</v>
      </c>
      <c r="R93" s="226"/>
    </row>
    <row r="94">
      <c r="P94" s="169" t="s">
        <v>28</v>
      </c>
      <c r="Q94" s="225" t="s">
        <v>203</v>
      </c>
      <c r="R94" s="226"/>
    </row>
    <row r="95">
      <c r="P95" s="170"/>
      <c r="Q95" s="225" t="s">
        <v>69</v>
      </c>
      <c r="R95" s="226"/>
    </row>
    <row r="96">
      <c r="P96" s="171" t="s">
        <v>65</v>
      </c>
      <c r="Q96" s="225" t="s">
        <v>68</v>
      </c>
      <c r="R96" s="226"/>
    </row>
    <row r="97">
      <c r="P97" s="172">
        <v>46.0</v>
      </c>
      <c r="Q97" s="225" t="s">
        <v>71</v>
      </c>
      <c r="R97" s="226"/>
    </row>
  </sheetData>
  <mergeCells count="82">
    <mergeCell ref="B38:B39"/>
    <mergeCell ref="C38:C39"/>
    <mergeCell ref="B40:B41"/>
    <mergeCell ref="C40:C41"/>
    <mergeCell ref="B42:B43"/>
    <mergeCell ref="C42:C43"/>
    <mergeCell ref="C44:C45"/>
    <mergeCell ref="B44:B45"/>
    <mergeCell ref="B46:B48"/>
    <mergeCell ref="C46:C48"/>
    <mergeCell ref="B49:B51"/>
    <mergeCell ref="C49:C51"/>
    <mergeCell ref="B52:B54"/>
    <mergeCell ref="C52:C54"/>
    <mergeCell ref="G66:G72"/>
    <mergeCell ref="G73:G78"/>
    <mergeCell ref="G79:G82"/>
    <mergeCell ref="H79:H82"/>
    <mergeCell ref="H83:H84"/>
    <mergeCell ref="G88:G90"/>
    <mergeCell ref="G91:G92"/>
    <mergeCell ref="C73:C78"/>
    <mergeCell ref="C79:C82"/>
    <mergeCell ref="C88:C90"/>
    <mergeCell ref="B55:B56"/>
    <mergeCell ref="C55:C56"/>
    <mergeCell ref="B57:B58"/>
    <mergeCell ref="C57:C58"/>
    <mergeCell ref="C66:C72"/>
    <mergeCell ref="H66:H72"/>
    <mergeCell ref="H73:H78"/>
    <mergeCell ref="N79:N82"/>
    <mergeCell ref="O79:O82"/>
    <mergeCell ref="O83:O84"/>
    <mergeCell ref="R83:R84"/>
    <mergeCell ref="Q87:R87"/>
    <mergeCell ref="J66:J72"/>
    <mergeCell ref="N66:N72"/>
    <mergeCell ref="O66:O72"/>
    <mergeCell ref="J73:J78"/>
    <mergeCell ref="N73:N78"/>
    <mergeCell ref="O73:O78"/>
    <mergeCell ref="J79:J82"/>
    <mergeCell ref="J5:J6"/>
    <mergeCell ref="K5:K6"/>
    <mergeCell ref="I14:I15"/>
    <mergeCell ref="J14:J15"/>
    <mergeCell ref="K14:K15"/>
    <mergeCell ref="B1:C1"/>
    <mergeCell ref="B2:G2"/>
    <mergeCell ref="J2:K2"/>
    <mergeCell ref="I3:N3"/>
    <mergeCell ref="B4:B5"/>
    <mergeCell ref="C4:C5"/>
    <mergeCell ref="I5:I6"/>
    <mergeCell ref="C22:C23"/>
    <mergeCell ref="C24:C25"/>
    <mergeCell ref="I24:I25"/>
    <mergeCell ref="J24:J25"/>
    <mergeCell ref="K24:K25"/>
    <mergeCell ref="B10:B11"/>
    <mergeCell ref="C10:C11"/>
    <mergeCell ref="B12:B13"/>
    <mergeCell ref="C12:C13"/>
    <mergeCell ref="B14:B15"/>
    <mergeCell ref="C14:C15"/>
    <mergeCell ref="C20:C21"/>
    <mergeCell ref="B35:B37"/>
    <mergeCell ref="C35:C37"/>
    <mergeCell ref="I35:I36"/>
    <mergeCell ref="J35:J36"/>
    <mergeCell ref="K35:K36"/>
    <mergeCell ref="B20:B21"/>
    <mergeCell ref="B22:B23"/>
    <mergeCell ref="B24:B25"/>
    <mergeCell ref="B30:B31"/>
    <mergeCell ref="C30:C31"/>
    <mergeCell ref="B32:B34"/>
    <mergeCell ref="C32:C34"/>
    <mergeCell ref="I52:I53"/>
    <mergeCell ref="J52:J53"/>
    <mergeCell ref="K52:K53"/>
  </mergeCells>
  <conditionalFormatting sqref="C87">
    <cfRule type="notContainsBlanks" dxfId="7" priority="1">
      <formula>LEN(TRIM(C87))&gt;0</formula>
    </cfRule>
  </conditionalFormatting>
  <dataValidations>
    <dataValidation type="list" allowBlank="1" showErrorMessage="1" sqref="E10:E11 E30:E31 E46:E48">
      <formula1>"Tuna,Pipo,Mira,Pablo,Gustavo,Tavares,Tomás,Nico,Sobral,Medicina,Literatus,Enfermagem,-"</formula1>
    </dataValidation>
    <dataValidation type="list" allowBlank="1" showErrorMessage="1" sqref="N14 N17 N24 N35 N52">
      <formula1>"Apostas,Prodígio,Poço,Pedro,-"</formula1>
    </dataValidation>
    <dataValidation type="list" allowBlank="1" showErrorMessage="1" sqref="G4:G5 N5 G8:G16 G18:G26 G29:G39 G42:G56 G59">
      <formula1>"Apostas,Prodígio,Poço,-"</formula1>
    </dataValidation>
    <dataValidation type="list" allowBlank="1" showErrorMessage="1" sqref="E4:E9 E12:E29 E32:E45 E49:E59">
      <formula1>"Tuna,Pipo,Mira,Pablo,Tavares,Gustavo,Sobral,Medicina,Literatus,Enfermagem,-"</formula1>
    </dataValidation>
    <dataValidation type="list" allowBlank="1" showErrorMessage="1" sqref="P92">
      <formula1>"Nome"</formula1>
    </dataValidation>
    <dataValidation type="list" allowBlank="1" showErrorMessage="1" sqref="P94">
      <formula1>"-"</formula1>
    </dataValidation>
    <dataValidation type="list" allowBlank="1" showErrorMessage="1" sqref="D4:D59">
      <formula1>"16h00,19h00,18h00,19h30,21h00,21h15,21h30"</formula1>
    </dataValidation>
    <dataValidation type="list" allowBlank="1" showErrorMessage="1" sqref="P93">
      <formula1>"Nome"</formula1>
    </dataValidation>
    <dataValidation type="list" allowBlank="1" showErrorMessage="1" sqref="K5 K14 K17 K24 K35 K52">
      <formula1>"17h00,19h00"</formula1>
    </dataValidation>
    <dataValidation type="list" allowBlank="1" showErrorMessage="1" sqref="L5:L6 L14:L15 L17 L24:L25 L35:L36 L52:L53">
      <formula1>"Tuna,Gustavo,Mira,Pablo,Tavares,Pipo,Sobral,Medicina,Literatus,Enfermagem,-"</formula1>
    </dataValidation>
    <dataValidation type="list" allowBlank="1" showErrorMessage="1" sqref="P95">
      <formula1>" -"</formula1>
    </dataValidation>
    <dataValidation type="list" allowBlank="1" showErrorMessage="1" sqref="M5 M14 M17 M24 M35 M52 F4:F59">
      <formula1>"Gift,Monte,Sorte,Afonso,Geni,JP,-"</formula1>
    </dataValidation>
    <dataValidation type="custom" allowBlank="1" showDropDown="1" sqref="F66:F82 M66:M82 F88:F90 K88:K91">
      <formula1>AND(ISNUMBER(F66),(NOT(OR(NOT(ISERROR(DATEVALUE(F66))), AND(ISNUMBER(F66), LEFT(CELL("format", F66))="D")))))</formula1>
    </dataValidation>
    <dataValidation type="list" allowBlank="1" showErrorMessage="1" sqref="G6">
      <formula1>"Apostas,Prodígio,Poço,Gift,Pedro,-"</formula1>
    </dataValidation>
    <dataValidation type="list" allowBlank="1" showErrorMessage="1" sqref="G7 G17 G27:G28 G40:G41 G57:G58">
      <formula1>"Apostas,Prodígio,Poço,Pedro,Canholas,-"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25"/>
    <col customWidth="1" min="13" max="13" width="13.0"/>
    <col customWidth="1" min="14" max="14" width="14.13"/>
  </cols>
  <sheetData>
    <row r="1">
      <c r="A1" s="1"/>
      <c r="B1" s="2" t="s">
        <v>1</v>
      </c>
    </row>
    <row r="2">
      <c r="A2" s="3"/>
      <c r="B2" s="4" t="s">
        <v>216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10</v>
      </c>
      <c r="J3" s="12"/>
      <c r="K3" s="12"/>
      <c r="L3" s="12"/>
      <c r="M3" s="12"/>
      <c r="N3" s="13"/>
    </row>
    <row r="4">
      <c r="A4" s="14"/>
      <c r="B4" s="25" t="s">
        <v>31</v>
      </c>
      <c r="C4" s="26">
        <v>1.0</v>
      </c>
      <c r="D4" s="270" t="s">
        <v>12</v>
      </c>
      <c r="E4" s="18" t="s">
        <v>44</v>
      </c>
      <c r="F4" s="18" t="s">
        <v>26</v>
      </c>
      <c r="G4" s="18" t="s">
        <v>19</v>
      </c>
      <c r="I4" s="262" t="s">
        <v>31</v>
      </c>
      <c r="J4" s="271">
        <v>1.0</v>
      </c>
      <c r="K4" s="272" t="s">
        <v>200</v>
      </c>
      <c r="L4" s="19" t="s">
        <v>30</v>
      </c>
      <c r="M4" s="253" t="s">
        <v>34</v>
      </c>
      <c r="N4" s="31" t="s">
        <v>15</v>
      </c>
    </row>
    <row r="5">
      <c r="A5" s="14"/>
      <c r="B5" s="23"/>
      <c r="C5" s="23"/>
      <c r="D5" s="270" t="s">
        <v>16</v>
      </c>
      <c r="E5" s="18" t="s">
        <v>44</v>
      </c>
      <c r="F5" s="18" t="s">
        <v>26</v>
      </c>
      <c r="G5" s="18" t="s">
        <v>19</v>
      </c>
      <c r="I5" s="200"/>
      <c r="J5" s="273"/>
      <c r="K5" s="273"/>
      <c r="L5" s="253"/>
      <c r="M5" s="201"/>
      <c r="N5" s="36"/>
    </row>
    <row r="6">
      <c r="A6" s="14" t="s">
        <v>214</v>
      </c>
      <c r="B6" s="191" t="s">
        <v>11</v>
      </c>
      <c r="C6" s="192">
        <v>2.0</v>
      </c>
      <c r="D6" s="270" t="s">
        <v>27</v>
      </c>
      <c r="E6" s="18" t="s">
        <v>13</v>
      </c>
      <c r="F6" s="18" t="s">
        <v>14</v>
      </c>
      <c r="G6" s="19" t="s">
        <v>15</v>
      </c>
      <c r="I6" s="52"/>
      <c r="J6" s="274"/>
      <c r="K6" s="275"/>
      <c r="L6" s="276"/>
      <c r="M6" s="277"/>
      <c r="N6" s="42"/>
    </row>
    <row r="7">
      <c r="A7" s="14"/>
      <c r="B7" s="191" t="s">
        <v>17</v>
      </c>
      <c r="C7" s="192">
        <v>3.0</v>
      </c>
      <c r="D7" s="270" t="s">
        <v>27</v>
      </c>
      <c r="E7" s="18" t="s">
        <v>30</v>
      </c>
      <c r="F7" s="18" t="s">
        <v>14</v>
      </c>
      <c r="G7" s="19" t="s">
        <v>15</v>
      </c>
      <c r="I7" s="52"/>
      <c r="J7" s="274"/>
      <c r="K7" s="275"/>
      <c r="L7" s="276"/>
      <c r="M7" s="277"/>
      <c r="N7" s="42"/>
    </row>
    <row r="8">
      <c r="A8" s="14"/>
      <c r="B8" s="191" t="s">
        <v>21</v>
      </c>
      <c r="C8" s="192">
        <v>4.0</v>
      </c>
      <c r="D8" s="278" t="s">
        <v>12</v>
      </c>
      <c r="E8" s="18" t="s">
        <v>13</v>
      </c>
      <c r="F8" s="19" t="s">
        <v>34</v>
      </c>
      <c r="G8" s="19" t="s">
        <v>15</v>
      </c>
      <c r="I8" s="263" t="s">
        <v>21</v>
      </c>
      <c r="J8" s="279">
        <v>4.0</v>
      </c>
      <c r="K8" s="280" t="s">
        <v>27</v>
      </c>
      <c r="L8" s="253" t="s">
        <v>30</v>
      </c>
      <c r="M8" s="253" t="s">
        <v>14</v>
      </c>
      <c r="N8" s="31" t="s">
        <v>24</v>
      </c>
    </row>
    <row r="9">
      <c r="A9" s="14"/>
      <c r="B9" s="191" t="s">
        <v>23</v>
      </c>
      <c r="C9" s="192">
        <v>5.0</v>
      </c>
      <c r="D9" s="278" t="s">
        <v>12</v>
      </c>
      <c r="E9" s="18" t="s">
        <v>13</v>
      </c>
      <c r="F9" s="18" t="s">
        <v>35</v>
      </c>
      <c r="G9" s="19" t="s">
        <v>15</v>
      </c>
      <c r="I9" s="215"/>
      <c r="J9" s="281"/>
      <c r="K9" s="282"/>
      <c r="L9" s="282"/>
      <c r="M9" s="276"/>
      <c r="N9" s="42"/>
    </row>
    <row r="10">
      <c r="A10" s="14"/>
      <c r="B10" s="283" t="s">
        <v>25</v>
      </c>
      <c r="C10" s="284">
        <v>6.0</v>
      </c>
      <c r="D10" s="270" t="s">
        <v>12</v>
      </c>
      <c r="E10" s="18" t="s">
        <v>30</v>
      </c>
      <c r="F10" s="18" t="s">
        <v>34</v>
      </c>
      <c r="G10" s="18" t="s">
        <v>19</v>
      </c>
      <c r="I10" s="215"/>
      <c r="J10" s="281"/>
      <c r="K10" s="282"/>
      <c r="L10" s="282"/>
      <c r="M10" s="276"/>
      <c r="N10" s="42"/>
    </row>
    <row r="11">
      <c r="A11" s="14"/>
      <c r="B11" s="283" t="s">
        <v>29</v>
      </c>
      <c r="C11" s="284">
        <v>7.0</v>
      </c>
      <c r="D11" s="270" t="s">
        <v>12</v>
      </c>
      <c r="E11" s="19" t="s">
        <v>13</v>
      </c>
      <c r="F11" s="18" t="s">
        <v>34</v>
      </c>
      <c r="G11" s="18" t="s">
        <v>19</v>
      </c>
      <c r="I11" s="215"/>
      <c r="J11" s="281"/>
      <c r="K11" s="282"/>
      <c r="L11" s="282"/>
      <c r="M11" s="276"/>
      <c r="N11" s="42"/>
    </row>
    <row r="12">
      <c r="A12" s="14"/>
      <c r="B12" s="25" t="s">
        <v>31</v>
      </c>
      <c r="C12" s="26">
        <v>8.0</v>
      </c>
      <c r="D12" s="270" t="s">
        <v>12</v>
      </c>
      <c r="E12" s="19" t="s">
        <v>44</v>
      </c>
      <c r="F12" s="18" t="s">
        <v>26</v>
      </c>
      <c r="G12" s="18" t="s">
        <v>15</v>
      </c>
      <c r="I12" s="218" t="s">
        <v>31</v>
      </c>
      <c r="J12" s="285">
        <v>8.0</v>
      </c>
      <c r="K12" s="286" t="s">
        <v>200</v>
      </c>
      <c r="L12" s="253" t="s">
        <v>13</v>
      </c>
      <c r="M12" s="253" t="s">
        <v>34</v>
      </c>
      <c r="N12" s="31" t="s">
        <v>19</v>
      </c>
    </row>
    <row r="13">
      <c r="A13" s="14"/>
      <c r="B13" s="23"/>
      <c r="C13" s="23"/>
      <c r="D13" s="270" t="s">
        <v>16</v>
      </c>
      <c r="E13" s="19" t="s">
        <v>44</v>
      </c>
      <c r="F13" s="18" t="s">
        <v>26</v>
      </c>
      <c r="G13" s="18" t="s">
        <v>15</v>
      </c>
      <c r="I13" s="207"/>
      <c r="J13" s="287"/>
      <c r="K13" s="288"/>
      <c r="L13" s="253"/>
      <c r="M13" s="201"/>
      <c r="N13" s="36"/>
    </row>
    <row r="14">
      <c r="A14" s="14" t="s">
        <v>214</v>
      </c>
      <c r="B14" s="289" t="s">
        <v>11</v>
      </c>
      <c r="C14" s="290">
        <v>9.0</v>
      </c>
      <c r="D14" s="291" t="s">
        <v>27</v>
      </c>
      <c r="E14" s="292"/>
      <c r="F14" s="292"/>
      <c r="G14" s="292"/>
      <c r="I14" s="263" t="s">
        <v>11</v>
      </c>
      <c r="J14" s="293">
        <v>9.0</v>
      </c>
      <c r="K14" s="280" t="s">
        <v>27</v>
      </c>
      <c r="L14" s="253" t="s">
        <v>30</v>
      </c>
      <c r="M14" s="253" t="s">
        <v>34</v>
      </c>
      <c r="N14" s="31" t="s">
        <v>19</v>
      </c>
    </row>
    <row r="15">
      <c r="A15" s="14"/>
      <c r="B15" s="289" t="s">
        <v>17</v>
      </c>
      <c r="C15" s="290">
        <v>10.0</v>
      </c>
      <c r="D15" s="291" t="s">
        <v>27</v>
      </c>
      <c r="E15" s="292"/>
      <c r="F15" s="292"/>
      <c r="G15" s="292"/>
      <c r="I15" s="49"/>
      <c r="J15" s="294"/>
      <c r="K15" s="276"/>
      <c r="L15" s="276"/>
      <c r="M15" s="276"/>
      <c r="N15" s="42"/>
    </row>
    <row r="16">
      <c r="A16" s="14"/>
      <c r="B16" s="191" t="s">
        <v>21</v>
      </c>
      <c r="C16" s="192">
        <v>11.0</v>
      </c>
      <c r="D16" s="270" t="s">
        <v>27</v>
      </c>
      <c r="E16" s="18" t="s">
        <v>30</v>
      </c>
      <c r="F16" s="19" t="s">
        <v>34</v>
      </c>
      <c r="G16" s="18" t="s">
        <v>15</v>
      </c>
      <c r="I16" s="49"/>
      <c r="J16" s="294"/>
      <c r="K16" s="276"/>
      <c r="L16" s="276"/>
      <c r="M16" s="276"/>
      <c r="N16" s="42"/>
    </row>
    <row r="17">
      <c r="A17" s="14"/>
      <c r="B17" s="191" t="s">
        <v>23</v>
      </c>
      <c r="C17" s="192">
        <v>12.0</v>
      </c>
      <c r="D17" s="270" t="s">
        <v>27</v>
      </c>
      <c r="E17" s="18" t="s">
        <v>30</v>
      </c>
      <c r="F17" s="18" t="s">
        <v>35</v>
      </c>
      <c r="G17" s="18" t="s">
        <v>15</v>
      </c>
      <c r="I17" s="52"/>
      <c r="J17" s="274"/>
      <c r="K17" s="275"/>
      <c r="L17" s="276"/>
      <c r="M17" s="276"/>
      <c r="N17" s="42"/>
    </row>
    <row r="18">
      <c r="A18" s="14"/>
      <c r="B18" s="283" t="s">
        <v>25</v>
      </c>
      <c r="C18" s="284">
        <v>13.0</v>
      </c>
      <c r="D18" s="270" t="s">
        <v>12</v>
      </c>
      <c r="E18" s="18" t="s">
        <v>30</v>
      </c>
      <c r="F18" s="18" t="s">
        <v>34</v>
      </c>
      <c r="G18" s="19" t="s">
        <v>15</v>
      </c>
      <c r="I18" s="295" t="s">
        <v>25</v>
      </c>
      <c r="J18" s="296">
        <v>13.0</v>
      </c>
      <c r="K18" s="253" t="s">
        <v>200</v>
      </c>
      <c r="L18" s="253"/>
      <c r="M18" s="253"/>
      <c r="N18" s="31"/>
    </row>
    <row r="19">
      <c r="A19" s="14"/>
      <c r="B19" s="25" t="s">
        <v>29</v>
      </c>
      <c r="C19" s="26">
        <v>14.0</v>
      </c>
      <c r="D19" s="270" t="s">
        <v>12</v>
      </c>
      <c r="E19" s="18" t="s">
        <v>28</v>
      </c>
      <c r="F19" s="18" t="s">
        <v>28</v>
      </c>
      <c r="G19" s="18" t="s">
        <v>28</v>
      </c>
      <c r="I19" s="20"/>
      <c r="J19" s="297"/>
      <c r="K19" s="298"/>
      <c r="L19" s="276"/>
      <c r="M19" s="277"/>
      <c r="N19" s="42"/>
    </row>
    <row r="20">
      <c r="A20" s="14"/>
      <c r="B20" s="23"/>
      <c r="C20" s="23"/>
      <c r="D20" s="270" t="s">
        <v>16</v>
      </c>
      <c r="E20" s="18" t="s">
        <v>28</v>
      </c>
      <c r="F20" s="18" t="s">
        <v>28</v>
      </c>
      <c r="G20" s="18" t="s">
        <v>28</v>
      </c>
      <c r="I20" s="20"/>
      <c r="J20" s="297"/>
      <c r="K20" s="298"/>
      <c r="L20" s="298"/>
      <c r="M20" s="298"/>
      <c r="N20" s="299"/>
    </row>
    <row r="21">
      <c r="A21" s="14" t="s">
        <v>214</v>
      </c>
      <c r="B21" s="25" t="s">
        <v>31</v>
      </c>
      <c r="C21" s="26">
        <v>15.0</v>
      </c>
      <c r="D21" s="270" t="s">
        <v>12</v>
      </c>
      <c r="E21" s="18" t="s">
        <v>43</v>
      </c>
      <c r="F21" s="18" t="s">
        <v>35</v>
      </c>
      <c r="G21" s="19" t="s">
        <v>15</v>
      </c>
      <c r="I21" s="27" t="s">
        <v>31</v>
      </c>
      <c r="J21" s="28">
        <v>15.0</v>
      </c>
      <c r="K21" s="286" t="s">
        <v>200</v>
      </c>
      <c r="L21" s="253"/>
      <c r="M21" s="253" t="s">
        <v>28</v>
      </c>
      <c r="N21" s="31" t="s">
        <v>28</v>
      </c>
    </row>
    <row r="22">
      <c r="A22" s="14"/>
      <c r="B22" s="23"/>
      <c r="C22" s="23"/>
      <c r="D22" s="270" t="s">
        <v>16</v>
      </c>
      <c r="E22" s="18" t="s">
        <v>43</v>
      </c>
      <c r="F22" s="18" t="s">
        <v>35</v>
      </c>
      <c r="G22" s="19" t="s">
        <v>15</v>
      </c>
      <c r="I22" s="32"/>
      <c r="J22" s="33"/>
      <c r="K22" s="288"/>
      <c r="L22" s="253"/>
      <c r="M22" s="201"/>
      <c r="N22" s="36"/>
    </row>
    <row r="23">
      <c r="A23" s="14"/>
      <c r="B23" s="191" t="s">
        <v>11</v>
      </c>
      <c r="C23" s="192">
        <v>16.0</v>
      </c>
      <c r="D23" s="270" t="s">
        <v>27</v>
      </c>
      <c r="E23" s="18" t="s">
        <v>30</v>
      </c>
      <c r="F23" s="18" t="s">
        <v>14</v>
      </c>
      <c r="G23" s="18" t="s">
        <v>19</v>
      </c>
      <c r="I23" s="20"/>
      <c r="J23" s="297"/>
      <c r="K23" s="298"/>
      <c r="L23" s="276"/>
      <c r="M23" s="277"/>
      <c r="N23" s="42"/>
    </row>
    <row r="24">
      <c r="A24" s="14"/>
      <c r="B24" s="15" t="s">
        <v>17</v>
      </c>
      <c r="C24" s="16">
        <v>17.0</v>
      </c>
      <c r="D24" s="278" t="s">
        <v>32</v>
      </c>
      <c r="E24" s="18" t="s">
        <v>30</v>
      </c>
      <c r="F24" s="18" t="s">
        <v>26</v>
      </c>
      <c r="G24" s="18" t="s">
        <v>19</v>
      </c>
      <c r="I24" s="20"/>
      <c r="J24" s="297"/>
      <c r="K24" s="298"/>
      <c r="L24" s="298"/>
      <c r="M24" s="277"/>
      <c r="N24" s="42"/>
    </row>
    <row r="25">
      <c r="A25" s="14"/>
      <c r="B25" s="23"/>
      <c r="C25" s="23"/>
      <c r="D25" s="270" t="s">
        <v>27</v>
      </c>
      <c r="E25" s="18" t="s">
        <v>30</v>
      </c>
      <c r="F25" s="18" t="s">
        <v>26</v>
      </c>
      <c r="G25" s="18" t="s">
        <v>19</v>
      </c>
      <c r="I25" s="20"/>
      <c r="J25" s="297"/>
      <c r="K25" s="298"/>
      <c r="L25" s="298"/>
      <c r="M25" s="277"/>
      <c r="N25" s="42"/>
    </row>
    <row r="26">
      <c r="A26" s="14"/>
      <c r="B26" s="191" t="s">
        <v>21</v>
      </c>
      <c r="C26" s="192">
        <v>18.0</v>
      </c>
      <c r="D26" s="270" t="s">
        <v>27</v>
      </c>
      <c r="E26" s="18" t="s">
        <v>13</v>
      </c>
      <c r="F26" s="19" t="s">
        <v>26</v>
      </c>
      <c r="G26" s="18" t="s">
        <v>19</v>
      </c>
      <c r="I26" s="20"/>
      <c r="J26" s="297"/>
      <c r="K26" s="298"/>
      <c r="L26" s="298"/>
      <c r="M26" s="277"/>
      <c r="N26" s="42"/>
    </row>
    <row r="27">
      <c r="A27" s="14"/>
      <c r="B27" s="191" t="s">
        <v>23</v>
      </c>
      <c r="C27" s="192">
        <v>19.0</v>
      </c>
      <c r="D27" s="270" t="s">
        <v>27</v>
      </c>
      <c r="E27" s="18" t="s">
        <v>13</v>
      </c>
      <c r="F27" s="18" t="s">
        <v>35</v>
      </c>
      <c r="G27" s="18" t="s">
        <v>19</v>
      </c>
      <c r="I27" s="20"/>
      <c r="J27" s="297"/>
      <c r="K27" s="298"/>
      <c r="L27" s="298"/>
      <c r="M27" s="298"/>
      <c r="N27" s="299"/>
    </row>
    <row r="28">
      <c r="A28" s="14"/>
      <c r="B28" s="25" t="s">
        <v>25</v>
      </c>
      <c r="C28" s="26">
        <v>20.0</v>
      </c>
      <c r="D28" s="270" t="s">
        <v>12</v>
      </c>
      <c r="E28" s="18" t="s">
        <v>44</v>
      </c>
      <c r="F28" s="18" t="s">
        <v>26</v>
      </c>
      <c r="G28" s="18" t="s">
        <v>19</v>
      </c>
      <c r="I28" s="27" t="s">
        <v>25</v>
      </c>
      <c r="J28" s="28">
        <v>20.0</v>
      </c>
      <c r="K28" s="286" t="s">
        <v>200</v>
      </c>
      <c r="L28" s="253"/>
      <c r="M28" s="253"/>
      <c r="N28" s="31"/>
    </row>
    <row r="29">
      <c r="A29" s="14"/>
      <c r="B29" s="23"/>
      <c r="C29" s="23"/>
      <c r="D29" s="270" t="s">
        <v>16</v>
      </c>
      <c r="E29" s="18" t="s">
        <v>44</v>
      </c>
      <c r="F29" s="18" t="s">
        <v>26</v>
      </c>
      <c r="G29" s="18" t="s">
        <v>19</v>
      </c>
      <c r="I29" s="32"/>
      <c r="J29" s="33"/>
      <c r="K29" s="288"/>
      <c r="L29" s="253"/>
      <c r="M29" s="201"/>
      <c r="N29" s="36"/>
    </row>
    <row r="30">
      <c r="A30" s="14"/>
      <c r="B30" s="25" t="s">
        <v>29</v>
      </c>
      <c r="C30" s="26">
        <v>21.0</v>
      </c>
      <c r="D30" s="270" t="s">
        <v>12</v>
      </c>
      <c r="E30" s="19" t="s">
        <v>30</v>
      </c>
      <c r="F30" s="18" t="s">
        <v>34</v>
      </c>
      <c r="G30" s="18" t="s">
        <v>15</v>
      </c>
      <c r="I30" s="20"/>
      <c r="J30" s="297"/>
      <c r="K30" s="298"/>
      <c r="L30" s="276"/>
      <c r="M30" s="277"/>
      <c r="N30" s="42"/>
    </row>
    <row r="31">
      <c r="A31" s="14"/>
      <c r="B31" s="23"/>
      <c r="C31" s="23"/>
      <c r="D31" s="270" t="s">
        <v>16</v>
      </c>
      <c r="E31" s="19" t="s">
        <v>30</v>
      </c>
      <c r="F31" s="18" t="s">
        <v>34</v>
      </c>
      <c r="G31" s="18" t="s">
        <v>15</v>
      </c>
      <c r="I31" s="20"/>
      <c r="J31" s="297"/>
      <c r="K31" s="298"/>
      <c r="L31" s="298"/>
      <c r="M31" s="298"/>
      <c r="N31" s="299"/>
    </row>
    <row r="32">
      <c r="A32" s="14" t="s">
        <v>214</v>
      </c>
      <c r="B32" s="25" t="s">
        <v>31</v>
      </c>
      <c r="C32" s="26">
        <v>22.0</v>
      </c>
      <c r="D32" s="270" t="s">
        <v>12</v>
      </c>
      <c r="E32" s="19" t="s">
        <v>43</v>
      </c>
      <c r="F32" s="18" t="s">
        <v>35</v>
      </c>
      <c r="G32" s="18" t="s">
        <v>15</v>
      </c>
      <c r="I32" s="27" t="s">
        <v>31</v>
      </c>
      <c r="J32" s="28">
        <v>22.0</v>
      </c>
      <c r="K32" s="286" t="s">
        <v>200</v>
      </c>
      <c r="L32" s="19" t="s">
        <v>30</v>
      </c>
      <c r="M32" s="253" t="s">
        <v>26</v>
      </c>
      <c r="N32" s="31" t="s">
        <v>19</v>
      </c>
    </row>
    <row r="33">
      <c r="A33" s="14"/>
      <c r="B33" s="23"/>
      <c r="C33" s="23"/>
      <c r="D33" s="270" t="s">
        <v>16</v>
      </c>
      <c r="E33" s="19" t="s">
        <v>43</v>
      </c>
      <c r="F33" s="18" t="s">
        <v>35</v>
      </c>
      <c r="G33" s="18" t="s">
        <v>15</v>
      </c>
      <c r="I33" s="32"/>
      <c r="J33" s="33"/>
      <c r="K33" s="288"/>
      <c r="L33" s="253"/>
      <c r="M33" s="201"/>
      <c r="N33" s="36"/>
    </row>
    <row r="34">
      <c r="A34" s="14"/>
      <c r="B34" s="191" t="s">
        <v>11</v>
      </c>
      <c r="C34" s="192">
        <v>23.0</v>
      </c>
      <c r="D34" s="270" t="s">
        <v>27</v>
      </c>
      <c r="E34" s="18" t="s">
        <v>30</v>
      </c>
      <c r="F34" s="18" t="s">
        <v>14</v>
      </c>
      <c r="G34" s="18" t="s">
        <v>19</v>
      </c>
      <c r="I34" s="20"/>
      <c r="J34" s="297"/>
      <c r="K34" s="298"/>
      <c r="L34" s="276"/>
      <c r="M34" s="277"/>
      <c r="N34" s="42"/>
    </row>
    <row r="35">
      <c r="A35" s="14"/>
      <c r="B35" s="191" t="s">
        <v>17</v>
      </c>
      <c r="C35" s="192">
        <v>24.0</v>
      </c>
      <c r="D35" s="270" t="s">
        <v>27</v>
      </c>
      <c r="E35" s="18" t="s">
        <v>13</v>
      </c>
      <c r="F35" s="18" t="s">
        <v>14</v>
      </c>
      <c r="G35" s="18" t="s">
        <v>19</v>
      </c>
      <c r="I35" s="20"/>
      <c r="J35" s="297"/>
      <c r="K35" s="298"/>
      <c r="L35" s="298"/>
      <c r="M35" s="277"/>
      <c r="N35" s="42"/>
    </row>
    <row r="36">
      <c r="A36" s="14"/>
      <c r="B36" s="191" t="s">
        <v>21</v>
      </c>
      <c r="C36" s="192">
        <v>25.0</v>
      </c>
      <c r="D36" s="270" t="s">
        <v>27</v>
      </c>
      <c r="E36" s="18" t="s">
        <v>13</v>
      </c>
      <c r="F36" s="18" t="s">
        <v>26</v>
      </c>
      <c r="G36" s="18" t="s">
        <v>19</v>
      </c>
      <c r="I36" s="49"/>
      <c r="J36" s="294"/>
      <c r="K36" s="276"/>
      <c r="L36" s="276"/>
      <c r="M36" s="276"/>
      <c r="N36" s="42"/>
    </row>
    <row r="37">
      <c r="A37" s="14"/>
      <c r="B37" s="191" t="s">
        <v>23</v>
      </c>
      <c r="C37" s="192">
        <v>26.0</v>
      </c>
      <c r="D37" s="270" t="s">
        <v>27</v>
      </c>
      <c r="E37" s="18" t="s">
        <v>30</v>
      </c>
      <c r="F37" s="18" t="s">
        <v>14</v>
      </c>
      <c r="G37" s="18" t="s">
        <v>19</v>
      </c>
      <c r="I37" s="49"/>
      <c r="J37" s="294"/>
      <c r="K37" s="276"/>
      <c r="L37" s="276"/>
      <c r="M37" s="276"/>
      <c r="N37" s="42"/>
    </row>
    <row r="38">
      <c r="A38" s="14" t="s">
        <v>214</v>
      </c>
      <c r="B38" s="25" t="s">
        <v>25</v>
      </c>
      <c r="C38" s="26">
        <v>27.0</v>
      </c>
      <c r="D38" s="270" t="s">
        <v>12</v>
      </c>
      <c r="E38" s="19" t="s">
        <v>13</v>
      </c>
      <c r="F38" s="18" t="s">
        <v>35</v>
      </c>
      <c r="G38" s="18" t="s">
        <v>15</v>
      </c>
      <c r="I38" s="27" t="s">
        <v>25</v>
      </c>
      <c r="J38" s="28">
        <v>27.0</v>
      </c>
      <c r="K38" s="286" t="s">
        <v>200</v>
      </c>
      <c r="L38" s="253"/>
      <c r="M38" s="253"/>
      <c r="N38" s="31"/>
    </row>
    <row r="39">
      <c r="A39" s="14"/>
      <c r="B39" s="23"/>
      <c r="C39" s="23"/>
      <c r="D39" s="270" t="s">
        <v>16</v>
      </c>
      <c r="E39" s="19" t="s">
        <v>13</v>
      </c>
      <c r="F39" s="18" t="s">
        <v>35</v>
      </c>
      <c r="G39" s="18" t="s">
        <v>15</v>
      </c>
      <c r="I39" s="32"/>
      <c r="J39" s="33"/>
      <c r="K39" s="288"/>
      <c r="L39" s="253"/>
      <c r="M39" s="201"/>
      <c r="N39" s="36"/>
    </row>
    <row r="40">
      <c r="A40" s="14"/>
      <c r="B40" s="25" t="s">
        <v>29</v>
      </c>
      <c r="C40" s="26">
        <v>28.0</v>
      </c>
      <c r="D40" s="270" t="s">
        <v>12</v>
      </c>
      <c r="E40" s="19" t="s">
        <v>13</v>
      </c>
      <c r="F40" s="18" t="s">
        <v>35</v>
      </c>
      <c r="G40" s="19" t="s">
        <v>19</v>
      </c>
      <c r="I40" s="20"/>
      <c r="J40" s="297"/>
      <c r="K40" s="298"/>
      <c r="L40" s="298"/>
      <c r="M40" s="277"/>
      <c r="N40" s="42"/>
    </row>
    <row r="41">
      <c r="A41" s="14"/>
      <c r="B41" s="23"/>
      <c r="C41" s="23"/>
      <c r="D41" s="270" t="s">
        <v>16</v>
      </c>
      <c r="E41" s="19" t="s">
        <v>13</v>
      </c>
      <c r="F41" s="18" t="s">
        <v>35</v>
      </c>
      <c r="G41" s="19" t="s">
        <v>19</v>
      </c>
      <c r="I41" s="49"/>
      <c r="J41" s="294"/>
      <c r="K41" s="276"/>
      <c r="L41" s="276"/>
      <c r="M41" s="276"/>
      <c r="N41" s="42"/>
    </row>
    <row r="42">
      <c r="A42" s="14"/>
      <c r="B42" s="191"/>
      <c r="C42" s="192"/>
      <c r="D42" s="270"/>
      <c r="E42" s="18"/>
      <c r="F42" s="18"/>
      <c r="G42" s="18"/>
      <c r="I42" s="52"/>
      <c r="J42" s="274"/>
      <c r="K42" s="275"/>
      <c r="L42" s="276"/>
      <c r="M42" s="276"/>
      <c r="N42" s="42"/>
    </row>
    <row r="43">
      <c r="A43" s="14"/>
      <c r="B43" s="191"/>
      <c r="C43" s="192"/>
      <c r="D43" s="270"/>
      <c r="E43" s="193"/>
      <c r="F43" s="193"/>
      <c r="G43" s="193"/>
      <c r="I43" s="52"/>
      <c r="J43" s="274"/>
      <c r="K43" s="275"/>
      <c r="L43" s="276"/>
      <c r="M43" s="276"/>
      <c r="N43" s="42"/>
    </row>
    <row r="44">
      <c r="A44" s="14"/>
      <c r="B44" s="191"/>
      <c r="C44" s="192"/>
      <c r="D44" s="270"/>
      <c r="E44" s="18"/>
      <c r="F44" s="193"/>
      <c r="G44" s="193"/>
      <c r="I44" s="52"/>
      <c r="J44" s="274"/>
      <c r="K44" s="275"/>
      <c r="L44" s="276"/>
      <c r="M44" s="276"/>
      <c r="N44" s="42"/>
    </row>
    <row r="45">
      <c r="A45" s="14"/>
      <c r="B45" s="191"/>
      <c r="C45" s="192"/>
      <c r="D45" s="270"/>
      <c r="E45" s="18"/>
      <c r="F45" s="193"/>
      <c r="G45" s="193"/>
      <c r="I45" s="52"/>
      <c r="J45" s="274"/>
      <c r="K45" s="275"/>
      <c r="L45" s="276"/>
      <c r="M45" s="276"/>
      <c r="N45" s="42"/>
    </row>
    <row r="46">
      <c r="A46" s="14"/>
      <c r="B46" s="191"/>
      <c r="C46" s="192"/>
      <c r="D46" s="270"/>
      <c r="E46" s="18"/>
      <c r="F46" s="193"/>
      <c r="G46" s="193"/>
      <c r="I46" s="20"/>
      <c r="J46" s="297"/>
      <c r="K46" s="300"/>
      <c r="L46" s="300"/>
      <c r="M46" s="276"/>
      <c r="N46" s="42"/>
    </row>
    <row r="47">
      <c r="E47" s="63">
        <f>COUNTIF(E4:E46, "Mira") + Countif(E4:E46, "Tuna")+ Countif(E4:E46, "Gustavo")+ Countif(E4:E46, "Pablo")+ Countif(E4:E46, "Tavares")+ Countif(E4:E46, "Sobral") + Countif(E4:E46, "Pipo")+ Countif(E4:E46, "Enfermagem")+ Countif(E4:E46, "Literatus")+ Countif(E4:E46, "Medicina")</f>
        <v>34</v>
      </c>
      <c r="F47" s="63">
        <f>Countif(F4:F46, "Gift") + Countif(F4:F46, "Monte") + Countif(F4:F46, "Sorte") + Countif(F4:F46, "Afonso") + Countif(F4:F46, "Geni") + Countif(F4:F46, "JP")</f>
        <v>34</v>
      </c>
      <c r="G47" s="63">
        <f>Countif(G4:G46, "Apostas") + Countif(G4:G46, "Prodígio") + Countif(G4:G46, "Tiago")</f>
        <v>34</v>
      </c>
      <c r="I47" s="60"/>
      <c r="J47" s="301"/>
      <c r="K47" s="302"/>
      <c r="L47" s="302"/>
      <c r="M47" s="302"/>
      <c r="N47" s="303"/>
    </row>
    <row r="48">
      <c r="L48" s="64">
        <f>COUNTIF(L4:L47, "Mira") + Countif(L4:L47, "Tuna")+ Countif(L4:L47, "Gustavo")+ Countif(L4:L47, "Pablo")+ Countif(L4:L47, "Tavares")+ Countif(L4:L47, "Sobral") + Countif(L4:L47, "Pipo")+ Countif(L4:L47, "Enfermagem")+ Countif(L4:L47, "Literatus")+ Countif(L4:L47, "Medicina")</f>
        <v>5</v>
      </c>
      <c r="M48" s="64">
        <f>Countif(M4:M44, "Gift") + Countif(M4:M44, "Monte") + Countif(M4:M44, "Sorte") + Countif(M4:M44, "Afonso") + Countif(M4:M44, "Geni") + Countif(M4:M44, "JP")</f>
        <v>5</v>
      </c>
      <c r="N48" s="64">
        <f>Countif(N4:N44, "Apostas") + Countif(N4:N44, "Prodígio") + Countif(N4:N44, "Poço")</f>
        <v>4</v>
      </c>
    </row>
    <row r="52" ht="22.5" customHeight="1">
      <c r="D52" s="65" t="s">
        <v>36</v>
      </c>
      <c r="E52" s="65" t="s">
        <v>37</v>
      </c>
      <c r="F52" s="65" t="s">
        <v>38</v>
      </c>
      <c r="G52" s="66" t="s">
        <v>39</v>
      </c>
      <c r="H52" s="67" t="s">
        <v>40</v>
      </c>
      <c r="K52" s="65" t="s">
        <v>36</v>
      </c>
      <c r="L52" s="65" t="s">
        <v>37</v>
      </c>
      <c r="M52" s="65" t="s">
        <v>38</v>
      </c>
      <c r="N52" s="66" t="s">
        <v>39</v>
      </c>
      <c r="O52" s="67" t="s">
        <v>40</v>
      </c>
      <c r="R52" s="68" t="s">
        <v>41</v>
      </c>
    </row>
    <row r="53" ht="22.5" customHeight="1">
      <c r="C53" s="69" t="s">
        <v>42</v>
      </c>
      <c r="D53" s="70" t="s">
        <v>22</v>
      </c>
      <c r="E53" s="71">
        <f>COUNTIF(E3:E46,"Tuna")</f>
        <v>0</v>
      </c>
      <c r="F53" s="72">
        <f t="shared" ref="F53:F69" si="2">((60/3)*E53)</f>
        <v>0</v>
      </c>
      <c r="G53" s="73">
        <f>E47</f>
        <v>34</v>
      </c>
      <c r="H53" s="74">
        <f>SUM(F53:F59)</f>
        <v>680</v>
      </c>
      <c r="J53" s="69" t="s">
        <v>42</v>
      </c>
      <c r="K53" s="70" t="s">
        <v>22</v>
      </c>
      <c r="L53" s="71">
        <f>COUNTIF(L1:L44,"Tuna")</f>
        <v>0</v>
      </c>
      <c r="M53" s="72">
        <f t="shared" ref="M53:M69" si="3">((75/3)*L53)</f>
        <v>0</v>
      </c>
      <c r="N53" s="73">
        <f t="shared" ref="N53:O53" si="1">SUM(L53:L59)</f>
        <v>5</v>
      </c>
      <c r="O53" s="74">
        <f t="shared" si="1"/>
        <v>125</v>
      </c>
      <c r="Q53" s="75" t="s">
        <v>22</v>
      </c>
      <c r="R53" s="76">
        <f t="shared" ref="R53:R69" si="4">SUM(F53,M53)</f>
        <v>0</v>
      </c>
    </row>
    <row r="54" ht="22.5" customHeight="1">
      <c r="C54" s="77"/>
      <c r="D54" s="78" t="s">
        <v>30</v>
      </c>
      <c r="E54" s="79">
        <f>COUNTIF(E3:E46,"Mira")</f>
        <v>12</v>
      </c>
      <c r="F54" s="80">
        <f t="shared" si="2"/>
        <v>240</v>
      </c>
      <c r="G54" s="81"/>
      <c r="H54" s="82"/>
      <c r="J54" s="77"/>
      <c r="K54" s="78" t="s">
        <v>30</v>
      </c>
      <c r="L54" s="79">
        <f>COUNTIF(L1:L44,"Mira")</f>
        <v>4</v>
      </c>
      <c r="M54" s="80">
        <f t="shared" si="3"/>
        <v>100</v>
      </c>
      <c r="N54" s="81"/>
      <c r="O54" s="82"/>
      <c r="Q54" s="83" t="s">
        <v>30</v>
      </c>
      <c r="R54" s="76">
        <f t="shared" si="4"/>
        <v>340</v>
      </c>
    </row>
    <row r="55" ht="22.5" customHeight="1">
      <c r="C55" s="77"/>
      <c r="D55" s="78" t="s">
        <v>13</v>
      </c>
      <c r="E55" s="79">
        <f>COUNTIF(E3:E46,"Pipo")</f>
        <v>12</v>
      </c>
      <c r="F55" s="80">
        <f t="shared" si="2"/>
        <v>240</v>
      </c>
      <c r="G55" s="81"/>
      <c r="H55" s="82"/>
      <c r="J55" s="77"/>
      <c r="K55" s="78" t="s">
        <v>13</v>
      </c>
      <c r="L55" s="79">
        <f>COUNTIF(L1:L44,"Pipo")</f>
        <v>1</v>
      </c>
      <c r="M55" s="84">
        <f t="shared" si="3"/>
        <v>25</v>
      </c>
      <c r="N55" s="81"/>
      <c r="O55" s="82"/>
      <c r="Q55" s="83" t="s">
        <v>13</v>
      </c>
      <c r="R55" s="76">
        <f t="shared" si="4"/>
        <v>265</v>
      </c>
    </row>
    <row r="56" ht="22.5" customHeight="1">
      <c r="C56" s="77"/>
      <c r="D56" s="78" t="s">
        <v>43</v>
      </c>
      <c r="E56" s="79">
        <f>COUNTIF(E3:E46,"Pablo")</f>
        <v>4</v>
      </c>
      <c r="F56" s="84">
        <f t="shared" si="2"/>
        <v>80</v>
      </c>
      <c r="G56" s="81"/>
      <c r="H56" s="82"/>
      <c r="J56" s="77"/>
      <c r="K56" s="78" t="s">
        <v>43</v>
      </c>
      <c r="L56" s="79">
        <f>COUNTIF(L1:L44,"Pablo")</f>
        <v>0</v>
      </c>
      <c r="M56" s="84">
        <f t="shared" si="3"/>
        <v>0</v>
      </c>
      <c r="N56" s="81"/>
      <c r="O56" s="82"/>
      <c r="Q56" s="83" t="s">
        <v>43</v>
      </c>
      <c r="R56" s="76">
        <f t="shared" si="4"/>
        <v>80</v>
      </c>
    </row>
    <row r="57" ht="22.5" customHeight="1">
      <c r="C57" s="77"/>
      <c r="D57" s="78" t="s">
        <v>44</v>
      </c>
      <c r="E57" s="79">
        <f>COUNTIF(E3:E46,"Tavares")</f>
        <v>6</v>
      </c>
      <c r="F57" s="84">
        <f t="shared" si="2"/>
        <v>120</v>
      </c>
      <c r="G57" s="81"/>
      <c r="H57" s="82"/>
      <c r="J57" s="77"/>
      <c r="K57" s="78" t="s">
        <v>44</v>
      </c>
      <c r="L57" s="79">
        <f>COUNTIF(L1:L44,"Tavares")</f>
        <v>0</v>
      </c>
      <c r="M57" s="84">
        <f t="shared" si="3"/>
        <v>0</v>
      </c>
      <c r="N57" s="81"/>
      <c r="O57" s="82"/>
      <c r="Q57" s="83" t="s">
        <v>44</v>
      </c>
      <c r="R57" s="76">
        <f t="shared" si="4"/>
        <v>120</v>
      </c>
    </row>
    <row r="58" ht="22.5" customHeight="1">
      <c r="C58" s="77"/>
      <c r="D58" s="78" t="s">
        <v>201</v>
      </c>
      <c r="E58" s="79">
        <f>COUNTIF(E3:E46,"Gustavo")</f>
        <v>0</v>
      </c>
      <c r="F58" s="84">
        <f t="shared" si="2"/>
        <v>0</v>
      </c>
      <c r="G58" s="81"/>
      <c r="H58" s="82"/>
      <c r="J58" s="77"/>
      <c r="K58" s="78" t="s">
        <v>201</v>
      </c>
      <c r="L58" s="79">
        <f>COUNTIF(L4:L49,"Gustavo")</f>
        <v>0</v>
      </c>
      <c r="M58" s="84">
        <f t="shared" si="3"/>
        <v>0</v>
      </c>
      <c r="N58" s="81"/>
      <c r="O58" s="82"/>
      <c r="Q58" s="83" t="s">
        <v>201</v>
      </c>
      <c r="R58" s="76">
        <f t="shared" si="4"/>
        <v>0</v>
      </c>
    </row>
    <row r="59" ht="22.5" customHeight="1">
      <c r="C59" s="91"/>
      <c r="D59" s="92" t="s">
        <v>46</v>
      </c>
      <c r="E59" s="93">
        <f>COUNTIF(E3:E46,"Tomás")</f>
        <v>0</v>
      </c>
      <c r="F59" s="94">
        <f t="shared" si="2"/>
        <v>0</v>
      </c>
      <c r="G59" s="95"/>
      <c r="H59" s="96"/>
      <c r="J59" s="91"/>
      <c r="K59" s="92" t="s">
        <v>46</v>
      </c>
      <c r="L59" s="93">
        <f>COUNTIF(L2:L46,"Tomás")</f>
        <v>0</v>
      </c>
      <c r="M59" s="94">
        <f t="shared" si="3"/>
        <v>0</v>
      </c>
      <c r="N59" s="95"/>
      <c r="O59" s="96"/>
      <c r="Q59" s="97" t="s">
        <v>46</v>
      </c>
      <c r="R59" s="98">
        <f t="shared" si="4"/>
        <v>0</v>
      </c>
    </row>
    <row r="60" ht="22.5" customHeight="1">
      <c r="C60" s="69" t="s">
        <v>47</v>
      </c>
      <c r="D60" s="99" t="s">
        <v>35</v>
      </c>
      <c r="E60" s="100">
        <f>Countif(F3:F46,"Gift")</f>
        <v>11</v>
      </c>
      <c r="F60" s="101">
        <f t="shared" si="2"/>
        <v>220</v>
      </c>
      <c r="G60" s="102">
        <f>F47</f>
        <v>34</v>
      </c>
      <c r="H60" s="103">
        <f>SUM(F60:F65)</f>
        <v>680</v>
      </c>
      <c r="J60" s="69" t="s">
        <v>47</v>
      </c>
      <c r="K60" s="99" t="s">
        <v>35</v>
      </c>
      <c r="L60" s="100">
        <f>Countif(M1:M44,"Gift")</f>
        <v>0</v>
      </c>
      <c r="M60" s="101">
        <f t="shared" si="3"/>
        <v>0</v>
      </c>
      <c r="N60" s="102">
        <f t="shared" ref="N60:O60" si="5">SUM(L60:L65)</f>
        <v>5</v>
      </c>
      <c r="O60" s="103">
        <f t="shared" si="5"/>
        <v>125</v>
      </c>
      <c r="Q60" s="104" t="s">
        <v>35</v>
      </c>
      <c r="R60" s="105">
        <f t="shared" si="4"/>
        <v>220</v>
      </c>
    </row>
    <row r="61" ht="22.5" customHeight="1">
      <c r="C61" s="77"/>
      <c r="D61" s="99" t="s">
        <v>34</v>
      </c>
      <c r="E61" s="100">
        <f>Countif(F3:F46,"Monte")</f>
        <v>7</v>
      </c>
      <c r="F61" s="101">
        <f t="shared" si="2"/>
        <v>140</v>
      </c>
      <c r="G61" s="106"/>
      <c r="H61" s="82"/>
      <c r="J61" s="77"/>
      <c r="K61" s="99" t="s">
        <v>34</v>
      </c>
      <c r="L61" s="100">
        <f>Countif(M1:M44,"Monte")</f>
        <v>3</v>
      </c>
      <c r="M61" s="101">
        <f t="shared" si="3"/>
        <v>75</v>
      </c>
      <c r="N61" s="106"/>
      <c r="O61" s="82"/>
      <c r="Q61" s="83" t="s">
        <v>34</v>
      </c>
      <c r="R61" s="76">
        <f t="shared" si="4"/>
        <v>215</v>
      </c>
    </row>
    <row r="62" ht="22.5" customHeight="1">
      <c r="C62" s="77"/>
      <c r="D62" s="99" t="s">
        <v>26</v>
      </c>
      <c r="E62" s="100">
        <f>Countif(F3:F46,"Sorte")</f>
        <v>10</v>
      </c>
      <c r="F62" s="101">
        <f t="shared" si="2"/>
        <v>200</v>
      </c>
      <c r="G62" s="106"/>
      <c r="H62" s="82"/>
      <c r="J62" s="77"/>
      <c r="K62" s="99" t="s">
        <v>26</v>
      </c>
      <c r="L62" s="100">
        <f>Countif(M1:M44,"Sorte")</f>
        <v>1</v>
      </c>
      <c r="M62" s="101">
        <f t="shared" si="3"/>
        <v>25</v>
      </c>
      <c r="N62" s="106"/>
      <c r="O62" s="82"/>
      <c r="Q62" s="83" t="s">
        <v>26</v>
      </c>
      <c r="R62" s="76">
        <f t="shared" si="4"/>
        <v>225</v>
      </c>
    </row>
    <row r="63" ht="22.5" customHeight="1">
      <c r="C63" s="77"/>
      <c r="D63" s="99" t="s">
        <v>14</v>
      </c>
      <c r="E63" s="100">
        <f>Countif(F3:F46,"Afonso")</f>
        <v>6</v>
      </c>
      <c r="F63" s="101">
        <f t="shared" si="2"/>
        <v>120</v>
      </c>
      <c r="G63" s="106"/>
      <c r="H63" s="82"/>
      <c r="J63" s="77"/>
      <c r="K63" s="99" t="s">
        <v>14</v>
      </c>
      <c r="L63" s="100">
        <f>Countif(M1:M44,"Afonso")</f>
        <v>1</v>
      </c>
      <c r="M63" s="101">
        <f t="shared" si="3"/>
        <v>25</v>
      </c>
      <c r="N63" s="106"/>
      <c r="O63" s="82"/>
      <c r="Q63" s="83" t="s">
        <v>14</v>
      </c>
      <c r="R63" s="76">
        <f t="shared" si="4"/>
        <v>145</v>
      </c>
    </row>
    <row r="64" ht="22.5" customHeight="1">
      <c r="C64" s="77"/>
      <c r="D64" s="99" t="s">
        <v>18</v>
      </c>
      <c r="E64" s="107">
        <f>Countif(F3:F46,"Geni")</f>
        <v>0</v>
      </c>
      <c r="F64" s="108">
        <f t="shared" si="2"/>
        <v>0</v>
      </c>
      <c r="G64" s="106"/>
      <c r="H64" s="82"/>
      <c r="J64" s="77"/>
      <c r="K64" s="99" t="s">
        <v>18</v>
      </c>
      <c r="L64" s="100">
        <f>Countif(M1:M44,"Geni")</f>
        <v>0</v>
      </c>
      <c r="M64" s="101">
        <f t="shared" si="3"/>
        <v>0</v>
      </c>
      <c r="N64" s="106"/>
      <c r="O64" s="82"/>
      <c r="Q64" s="83" t="s">
        <v>18</v>
      </c>
      <c r="R64" s="76">
        <f t="shared" si="4"/>
        <v>0</v>
      </c>
    </row>
    <row r="65" ht="22.5" customHeight="1">
      <c r="C65" s="91"/>
      <c r="D65" s="92" t="s">
        <v>48</v>
      </c>
      <c r="E65" s="86">
        <f>Countif(F3:F46,"JP")</f>
        <v>0</v>
      </c>
      <c r="F65" s="87">
        <f t="shared" si="2"/>
        <v>0</v>
      </c>
      <c r="G65" s="106"/>
      <c r="H65" s="82"/>
      <c r="J65" s="91"/>
      <c r="K65" s="92" t="s">
        <v>48</v>
      </c>
      <c r="L65" s="93">
        <f>Countif(M1:M44,"JP")</f>
        <v>0</v>
      </c>
      <c r="M65" s="94">
        <f t="shared" si="3"/>
        <v>0</v>
      </c>
      <c r="N65" s="106"/>
      <c r="O65" s="82"/>
      <c r="Q65" s="97" t="s">
        <v>48</v>
      </c>
      <c r="R65" s="98">
        <f t="shared" si="4"/>
        <v>0</v>
      </c>
    </row>
    <row r="66" ht="22.5" customHeight="1">
      <c r="C66" s="69" t="s">
        <v>49</v>
      </c>
      <c r="D66" s="114" t="s">
        <v>19</v>
      </c>
      <c r="E66" s="115">
        <f>Countif(G3:G46,"Apostas")</f>
        <v>17</v>
      </c>
      <c r="F66" s="112">
        <f t="shared" si="2"/>
        <v>340</v>
      </c>
      <c r="G66" s="73">
        <f>G47</f>
        <v>34</v>
      </c>
      <c r="H66" s="74">
        <f>SUM(F66:F69)</f>
        <v>680</v>
      </c>
      <c r="J66" s="69" t="s">
        <v>49</v>
      </c>
      <c r="K66" s="114" t="s">
        <v>19</v>
      </c>
      <c r="L66" s="115">
        <f>Countif(N1:N44,"Apostas")</f>
        <v>3</v>
      </c>
      <c r="M66" s="112">
        <f t="shared" si="3"/>
        <v>75</v>
      </c>
      <c r="N66" s="73">
        <f>SUM(L66:L68)</f>
        <v>4</v>
      </c>
      <c r="O66" s="74">
        <f>SUM(M66:M69)</f>
        <v>125</v>
      </c>
      <c r="Q66" s="104" t="s">
        <v>19</v>
      </c>
      <c r="R66" s="105">
        <f t="shared" si="4"/>
        <v>415</v>
      </c>
    </row>
    <row r="67" ht="22.5" customHeight="1">
      <c r="C67" s="77"/>
      <c r="D67" s="120" t="s">
        <v>15</v>
      </c>
      <c r="E67" s="121">
        <f>Countif(G3:G46,"Prodígio")</f>
        <v>17</v>
      </c>
      <c r="F67" s="119">
        <f t="shared" si="2"/>
        <v>340</v>
      </c>
      <c r="G67" s="81"/>
      <c r="H67" s="82"/>
      <c r="J67" s="77"/>
      <c r="K67" s="120" t="s">
        <v>15</v>
      </c>
      <c r="L67" s="121">
        <f>Countif(N1:N44,"Prodígio")</f>
        <v>1</v>
      </c>
      <c r="M67" s="119">
        <f t="shared" si="3"/>
        <v>25</v>
      </c>
      <c r="N67" s="81"/>
      <c r="O67" s="82"/>
      <c r="Q67" s="83" t="s">
        <v>15</v>
      </c>
      <c r="R67" s="76">
        <f t="shared" si="4"/>
        <v>365</v>
      </c>
    </row>
    <row r="68" ht="22.5" customHeight="1">
      <c r="C68" s="77"/>
      <c r="D68" s="120" t="s">
        <v>50</v>
      </c>
      <c r="E68" s="121">
        <f>Countif(G1:G46,"Poço")</f>
        <v>0</v>
      </c>
      <c r="F68" s="119">
        <f t="shared" si="2"/>
        <v>0</v>
      </c>
      <c r="G68" s="81"/>
      <c r="H68" s="82"/>
      <c r="J68" s="77"/>
      <c r="K68" s="120" t="s">
        <v>50</v>
      </c>
      <c r="L68" s="121">
        <f>Countif(N1:N44,"Poço")</f>
        <v>0</v>
      </c>
      <c r="M68" s="119">
        <f t="shared" si="3"/>
        <v>0</v>
      </c>
      <c r="N68" s="81"/>
      <c r="O68" s="82"/>
      <c r="Q68" s="83" t="s">
        <v>50</v>
      </c>
      <c r="R68" s="76">
        <f t="shared" si="4"/>
        <v>0</v>
      </c>
    </row>
    <row r="69" ht="22.5" customHeight="1">
      <c r="C69" s="91"/>
      <c r="D69" s="222" t="s">
        <v>24</v>
      </c>
      <c r="E69" s="128">
        <f>Countif(G2:G47,"Pedro")</f>
        <v>0</v>
      </c>
      <c r="F69" s="129">
        <f t="shared" si="2"/>
        <v>0</v>
      </c>
      <c r="G69" s="130"/>
      <c r="H69" s="127"/>
      <c r="J69" s="91"/>
      <c r="K69" s="222" t="s">
        <v>24</v>
      </c>
      <c r="L69" s="128">
        <f>Countif(N2:N44,"Pedro")</f>
        <v>1</v>
      </c>
      <c r="M69" s="129">
        <f t="shared" si="3"/>
        <v>25</v>
      </c>
      <c r="N69" s="130"/>
      <c r="O69" s="127"/>
      <c r="Q69" s="131" t="s">
        <v>48</v>
      </c>
      <c r="R69" s="76">
        <f t="shared" si="4"/>
        <v>25</v>
      </c>
    </row>
    <row r="70">
      <c r="H70" s="132">
        <f>SUM(H53:H68)</f>
        <v>2040</v>
      </c>
      <c r="O70" s="132">
        <f>SUM(O53:O68)</f>
        <v>375</v>
      </c>
      <c r="Q70" s="133"/>
      <c r="R70" s="134">
        <f>SUM(H70+O70)</f>
        <v>2415</v>
      </c>
    </row>
    <row r="71">
      <c r="H71" s="135"/>
      <c r="O71" s="135"/>
      <c r="Q71" s="133"/>
      <c r="R71" s="135"/>
    </row>
    <row r="74" ht="22.5" customHeight="1">
      <c r="D74" s="136" t="s">
        <v>36</v>
      </c>
      <c r="E74" s="136" t="s">
        <v>37</v>
      </c>
      <c r="F74" s="136" t="s">
        <v>38</v>
      </c>
      <c r="G74" s="137" t="s">
        <v>40</v>
      </c>
      <c r="J74" s="138" t="s">
        <v>6</v>
      </c>
      <c r="K74" s="100" t="s">
        <v>51</v>
      </c>
      <c r="Q74" s="139" t="s">
        <v>52</v>
      </c>
    </row>
    <row r="75" ht="22.5" customHeight="1">
      <c r="C75" s="140" t="s">
        <v>53</v>
      </c>
      <c r="D75" s="141" t="s">
        <v>54</v>
      </c>
      <c r="E75" s="142">
        <f>COUNTIF(E20:E46,"Medicina")</f>
        <v>0</v>
      </c>
      <c r="F75" s="143">
        <f t="shared" ref="F75:F77" si="6">((60/3)*E75)</f>
        <v>0</v>
      </c>
      <c r="G75" s="144">
        <f>SUM(F75:F77)</f>
        <v>0</v>
      </c>
      <c r="J75" s="145" t="s">
        <v>55</v>
      </c>
      <c r="K75" s="146">
        <v>20.0</v>
      </c>
      <c r="P75" s="147"/>
      <c r="Q75" s="223" t="s">
        <v>56</v>
      </c>
      <c r="R75" s="224"/>
    </row>
    <row r="76" ht="22.5" customHeight="1">
      <c r="C76" s="116"/>
      <c r="D76" s="150" t="s">
        <v>57</v>
      </c>
      <c r="E76" s="88">
        <f>COUNTIF(E20:E46,"Literatus")</f>
        <v>0</v>
      </c>
      <c r="F76" s="151">
        <f t="shared" si="6"/>
        <v>0</v>
      </c>
      <c r="G76" s="152"/>
      <c r="J76" s="153" t="s">
        <v>58</v>
      </c>
      <c r="K76" s="154">
        <v>20.0</v>
      </c>
      <c r="P76" s="155"/>
      <c r="Q76" s="225" t="s">
        <v>59</v>
      </c>
      <c r="R76" s="226"/>
    </row>
    <row r="77" ht="22.5" customHeight="1">
      <c r="C77" s="124"/>
      <c r="D77" s="158" t="s">
        <v>60</v>
      </c>
      <c r="E77" s="159">
        <f>COUNTIF(E20:E46,"Enfermagem")</f>
        <v>0</v>
      </c>
      <c r="F77" s="160">
        <f t="shared" si="6"/>
        <v>0</v>
      </c>
      <c r="G77" s="161"/>
      <c r="J77" s="153" t="s">
        <v>61</v>
      </c>
      <c r="K77" s="154">
        <v>20.0</v>
      </c>
      <c r="P77" s="162"/>
      <c r="Q77" s="225" t="s">
        <v>62</v>
      </c>
      <c r="R77" s="226"/>
    </row>
    <row r="78" ht="22.5" customHeight="1">
      <c r="G78" s="163">
        <f>SUM(G75:G77)</f>
        <v>0</v>
      </c>
      <c r="J78" s="164" t="s">
        <v>63</v>
      </c>
      <c r="K78" s="165">
        <v>20.0</v>
      </c>
      <c r="P78" s="166"/>
      <c r="Q78" s="223" t="s">
        <v>64</v>
      </c>
      <c r="R78" s="224"/>
    </row>
    <row r="79">
      <c r="G79" s="161"/>
      <c r="P79" s="167" t="s">
        <v>65</v>
      </c>
      <c r="Q79" s="225" t="s">
        <v>66</v>
      </c>
      <c r="R79" s="226"/>
    </row>
    <row r="80">
      <c r="P80" s="168" t="s">
        <v>65</v>
      </c>
      <c r="Q80" s="225" t="s">
        <v>202</v>
      </c>
      <c r="R80" s="226"/>
    </row>
    <row r="81">
      <c r="P81" s="169" t="s">
        <v>28</v>
      </c>
      <c r="Q81" s="225" t="s">
        <v>203</v>
      </c>
      <c r="R81" s="226"/>
    </row>
    <row r="82">
      <c r="P82" s="170"/>
      <c r="Q82" s="225" t="s">
        <v>69</v>
      </c>
      <c r="R82" s="226"/>
    </row>
    <row r="83">
      <c r="P83" s="171" t="s">
        <v>65</v>
      </c>
      <c r="Q83" s="225" t="s">
        <v>68</v>
      </c>
      <c r="R83" s="226"/>
    </row>
    <row r="84">
      <c r="P84" s="172">
        <v>46.0</v>
      </c>
      <c r="Q84" s="225" t="s">
        <v>71</v>
      </c>
      <c r="R84" s="226"/>
    </row>
  </sheetData>
  <mergeCells count="67">
    <mergeCell ref="N53:N59"/>
    <mergeCell ref="N60:N65"/>
    <mergeCell ref="O66:O69"/>
    <mergeCell ref="O70:O71"/>
    <mergeCell ref="R70:R71"/>
    <mergeCell ref="Q74:R74"/>
    <mergeCell ref="C60:C65"/>
    <mergeCell ref="C75:C77"/>
    <mergeCell ref="G75:G77"/>
    <mergeCell ref="G78:G79"/>
    <mergeCell ref="C53:C59"/>
    <mergeCell ref="G53:G59"/>
    <mergeCell ref="H53:H59"/>
    <mergeCell ref="J53:J59"/>
    <mergeCell ref="O53:O59"/>
    <mergeCell ref="J60:J65"/>
    <mergeCell ref="O60:O65"/>
    <mergeCell ref="B1:C1"/>
    <mergeCell ref="B2:G2"/>
    <mergeCell ref="J2:K2"/>
    <mergeCell ref="I3:N3"/>
    <mergeCell ref="B4:B5"/>
    <mergeCell ref="C4:C5"/>
    <mergeCell ref="I4:I5"/>
    <mergeCell ref="J4:J5"/>
    <mergeCell ref="K4:K5"/>
    <mergeCell ref="B12:B13"/>
    <mergeCell ref="C12:C13"/>
    <mergeCell ref="I12:I13"/>
    <mergeCell ref="J12:J13"/>
    <mergeCell ref="K12:K13"/>
    <mergeCell ref="B19:B20"/>
    <mergeCell ref="C19:C20"/>
    <mergeCell ref="B21:B22"/>
    <mergeCell ref="C21:C22"/>
    <mergeCell ref="I21:I22"/>
    <mergeCell ref="J21:J22"/>
    <mergeCell ref="K21:K22"/>
    <mergeCell ref="B24:B25"/>
    <mergeCell ref="C24:C25"/>
    <mergeCell ref="B28:B29"/>
    <mergeCell ref="C28:C29"/>
    <mergeCell ref="I28:I29"/>
    <mergeCell ref="J28:J29"/>
    <mergeCell ref="K28:K29"/>
    <mergeCell ref="B30:B31"/>
    <mergeCell ref="C30:C31"/>
    <mergeCell ref="B32:B33"/>
    <mergeCell ref="C32:C33"/>
    <mergeCell ref="I32:I33"/>
    <mergeCell ref="J32:J33"/>
    <mergeCell ref="K32:K33"/>
    <mergeCell ref="B38:B39"/>
    <mergeCell ref="C38:C39"/>
    <mergeCell ref="I38:I39"/>
    <mergeCell ref="J38:J39"/>
    <mergeCell ref="K38:K39"/>
    <mergeCell ref="B40:B41"/>
    <mergeCell ref="C40:C41"/>
    <mergeCell ref="G60:G65"/>
    <mergeCell ref="H60:H65"/>
    <mergeCell ref="C66:C69"/>
    <mergeCell ref="G66:G69"/>
    <mergeCell ref="H66:H69"/>
    <mergeCell ref="J66:J69"/>
    <mergeCell ref="N66:N69"/>
    <mergeCell ref="H70:H71"/>
  </mergeCells>
  <conditionalFormatting sqref="C74">
    <cfRule type="notContainsBlanks" dxfId="7" priority="1">
      <formula>LEN(TRIM(C74))&gt;0</formula>
    </cfRule>
  </conditionalFormatting>
  <dataValidations>
    <dataValidation type="list" allowBlank="1" showErrorMessage="1" sqref="E11 E38:E41">
      <formula1>"Tuna,Pipo,Mira,Pablo,Gustavo,Tavares,Tomás,Nico,Sobral,Medicina,Literatus,Enfermagem,-"</formula1>
    </dataValidation>
    <dataValidation type="list" allowBlank="1" showErrorMessage="1" sqref="P79">
      <formula1>"Nome"</formula1>
    </dataValidation>
    <dataValidation type="list" allowBlank="1" showErrorMessage="1" sqref="N4 G4:G5 N12 G10:G17 N18 N21 N28 N32 N38 G23:G39 G42:G46">
      <formula1>"Apostas,Prodígio,Poço,-,Pedro"</formula1>
    </dataValidation>
    <dataValidation type="list" allowBlank="1" showErrorMessage="1" sqref="P81">
      <formula1>"-"</formula1>
    </dataValidation>
    <dataValidation type="list" allowBlank="1" showErrorMessage="1" sqref="L4 E4:E10 L32 E12:E37 E42:E46">
      <formula1>"Tuna,Pipo,Mira,Pablo,Gustavo,Tavares,Sobral,Medicina,Literatus,Enfermagem,-"</formula1>
    </dataValidation>
    <dataValidation type="list" allowBlank="1" showErrorMessage="1" sqref="P80">
      <formula1>"Nome"</formula1>
    </dataValidation>
    <dataValidation type="list" allowBlank="1" showErrorMessage="1" sqref="K8 K14 D4:D46">
      <formula1>"19h00,18h00,19h30,21h00,21h30,16h00"</formula1>
    </dataValidation>
    <dataValidation type="list" allowBlank="1" showErrorMessage="1" sqref="F4:F46">
      <formula1>"Gift,Monte,Sorte,Afonso,Geni,JP,-"</formula1>
    </dataValidation>
    <dataValidation type="list" allowBlank="1" showErrorMessage="1" sqref="L8 L12:L14 L18 L21:L22 L28:L29 L33 L38:L39">
      <formula1>"Tuna,Gustavo,Mira,Pablo,Tavares,Pipo,Sobral,Medicina,Literatus,Enfermagem,-"</formula1>
    </dataValidation>
    <dataValidation type="list" allowBlank="1" showErrorMessage="1" sqref="P82">
      <formula1>" -"</formula1>
    </dataValidation>
    <dataValidation type="list" allowBlank="1" showErrorMessage="1" sqref="M4 M8 M12 M14 M18 M21 M28 M32 M38">
      <formula1>"Gift,Monte,Sorte,Afonso,Geni,JP,-"</formula1>
    </dataValidation>
    <dataValidation type="custom" allowBlank="1" showDropDown="1" sqref="M53:M69 F53:F69 F75:F77 K75:K78">
      <formula1>AND(ISNUMBER(F53),(NOT(OR(NOT(ISERROR(DATEVALUE(F53))), AND(ISNUMBER(F53), LEFT(CELL("format", F53))="D")))))</formula1>
    </dataValidation>
    <dataValidation type="list" allowBlank="1" showErrorMessage="1" sqref="K4 K12 K18 K21 K28 K32 K38">
      <formula1>"17h00"</formula1>
    </dataValidation>
    <dataValidation type="list" allowBlank="1" showErrorMessage="1" sqref="N8 G6:G9 N14 G18:G22">
      <formula1>"Apostas,Prodígio,Poço,Gift,Pedro,-"</formula1>
    </dataValidation>
    <dataValidation type="list" allowBlank="1" showErrorMessage="1" sqref="G40:G41">
      <formula1>"Apostas,Prodígio,Poço,Pedro,Canholas,-"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25"/>
    <col customWidth="1" min="13" max="13" width="13.0"/>
    <col customWidth="1" min="14" max="14" width="14.13"/>
  </cols>
  <sheetData>
    <row r="1">
      <c r="A1" s="1"/>
      <c r="B1" s="2" t="s">
        <v>1</v>
      </c>
    </row>
    <row r="2">
      <c r="A2" s="3"/>
      <c r="B2" s="4" t="s">
        <v>217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218</v>
      </c>
      <c r="J3" s="12"/>
      <c r="K3" s="12"/>
      <c r="L3" s="12"/>
      <c r="M3" s="12"/>
      <c r="N3" s="13"/>
    </row>
    <row r="4">
      <c r="A4" s="14"/>
      <c r="B4" s="191" t="s">
        <v>23</v>
      </c>
      <c r="C4" s="192">
        <v>1.0</v>
      </c>
      <c r="D4" s="17" t="s">
        <v>27</v>
      </c>
      <c r="E4" s="19" t="s">
        <v>44</v>
      </c>
      <c r="F4" s="19" t="s">
        <v>26</v>
      </c>
      <c r="G4" s="18" t="s">
        <v>19</v>
      </c>
      <c r="I4" s="304" t="s">
        <v>23</v>
      </c>
      <c r="J4" s="305">
        <v>1.0</v>
      </c>
      <c r="K4" s="306" t="s">
        <v>27</v>
      </c>
      <c r="L4" s="307" t="s">
        <v>13</v>
      </c>
      <c r="M4" s="308"/>
      <c r="N4" s="309"/>
    </row>
    <row r="5">
      <c r="A5" s="14"/>
      <c r="B5" s="25" t="s">
        <v>25</v>
      </c>
      <c r="C5" s="26">
        <v>2.0</v>
      </c>
      <c r="D5" s="17" t="s">
        <v>12</v>
      </c>
      <c r="E5" s="18" t="s">
        <v>13</v>
      </c>
      <c r="F5" s="18" t="s">
        <v>35</v>
      </c>
      <c r="G5" s="18" t="s">
        <v>15</v>
      </c>
      <c r="I5" s="310" t="s">
        <v>25</v>
      </c>
      <c r="J5" s="196">
        <v>2.0</v>
      </c>
      <c r="K5" s="311" t="s">
        <v>27</v>
      </c>
      <c r="L5" s="312" t="s">
        <v>30</v>
      </c>
      <c r="M5" s="312" t="s">
        <v>34</v>
      </c>
      <c r="N5" s="313" t="s">
        <v>19</v>
      </c>
      <c r="P5" s="1" t="s">
        <v>219</v>
      </c>
    </row>
    <row r="6">
      <c r="A6" s="14"/>
      <c r="B6" s="23"/>
      <c r="C6" s="24"/>
      <c r="D6" s="17" t="s">
        <v>16</v>
      </c>
      <c r="E6" s="18" t="s">
        <v>13</v>
      </c>
      <c r="F6" s="18" t="s">
        <v>35</v>
      </c>
      <c r="G6" s="18" t="s">
        <v>15</v>
      </c>
      <c r="I6" s="32"/>
      <c r="K6" s="45"/>
      <c r="L6" s="30" t="s">
        <v>44</v>
      </c>
      <c r="M6" s="35"/>
      <c r="N6" s="299"/>
      <c r="P6" s="1" t="s">
        <v>220</v>
      </c>
    </row>
    <row r="7">
      <c r="A7" s="14"/>
      <c r="B7" s="25" t="s">
        <v>29</v>
      </c>
      <c r="C7" s="26">
        <v>3.0</v>
      </c>
      <c r="D7" s="17" t="s">
        <v>12</v>
      </c>
      <c r="E7" s="18" t="s">
        <v>30</v>
      </c>
      <c r="F7" s="18" t="s">
        <v>35</v>
      </c>
      <c r="G7" s="18" t="s">
        <v>19</v>
      </c>
      <c r="I7" s="27" t="s">
        <v>29</v>
      </c>
      <c r="J7" s="43">
        <v>3.0</v>
      </c>
      <c r="K7" s="44" t="s">
        <v>27</v>
      </c>
      <c r="L7" s="30" t="s">
        <v>13</v>
      </c>
      <c r="M7" s="30" t="s">
        <v>26</v>
      </c>
      <c r="N7" s="31" t="s">
        <v>15</v>
      </c>
      <c r="P7" s="1" t="s">
        <v>221</v>
      </c>
    </row>
    <row r="8">
      <c r="A8" s="14"/>
      <c r="B8" s="23"/>
      <c r="C8" s="24"/>
      <c r="D8" s="17" t="s">
        <v>16</v>
      </c>
      <c r="E8" s="18" t="s">
        <v>30</v>
      </c>
      <c r="F8" s="18" t="s">
        <v>35</v>
      </c>
      <c r="G8" s="18" t="s">
        <v>19</v>
      </c>
      <c r="I8" s="32"/>
      <c r="J8" s="34"/>
      <c r="K8" s="45"/>
      <c r="L8" s="30"/>
      <c r="M8" s="35"/>
      <c r="N8" s="299"/>
    </row>
    <row r="9">
      <c r="A9" s="14"/>
      <c r="B9" s="25" t="s">
        <v>31</v>
      </c>
      <c r="C9" s="26">
        <v>4.0</v>
      </c>
      <c r="D9" s="17" t="s">
        <v>12</v>
      </c>
      <c r="E9" s="18" t="s">
        <v>44</v>
      </c>
      <c r="F9" s="18" t="s">
        <v>34</v>
      </c>
      <c r="G9" s="18" t="s">
        <v>19</v>
      </c>
      <c r="I9" s="314" t="s">
        <v>31</v>
      </c>
      <c r="J9" s="43">
        <v>4.0</v>
      </c>
      <c r="K9" s="44" t="s">
        <v>200</v>
      </c>
      <c r="L9" s="47" t="s">
        <v>30</v>
      </c>
      <c r="M9" s="30" t="s">
        <v>35</v>
      </c>
      <c r="N9" s="31" t="s">
        <v>15</v>
      </c>
    </row>
    <row r="10">
      <c r="A10" s="14"/>
      <c r="B10" s="23"/>
      <c r="C10" s="24"/>
      <c r="D10" s="17" t="s">
        <v>16</v>
      </c>
      <c r="E10" s="18" t="s">
        <v>44</v>
      </c>
      <c r="F10" s="18" t="s">
        <v>34</v>
      </c>
      <c r="G10" s="18" t="s">
        <v>19</v>
      </c>
      <c r="I10" s="207"/>
      <c r="J10" s="34"/>
      <c r="K10" s="45"/>
      <c r="L10" s="30"/>
      <c r="M10" s="35"/>
      <c r="N10" s="36"/>
    </row>
    <row r="11">
      <c r="A11" s="14"/>
      <c r="B11" s="191" t="s">
        <v>11</v>
      </c>
      <c r="C11" s="315">
        <v>5.0</v>
      </c>
      <c r="D11" s="17" t="s">
        <v>27</v>
      </c>
      <c r="E11" s="18" t="s">
        <v>13</v>
      </c>
      <c r="F11" s="18" t="s">
        <v>14</v>
      </c>
      <c r="G11" s="18" t="s">
        <v>19</v>
      </c>
      <c r="I11" s="49"/>
      <c r="J11" s="216"/>
      <c r="K11" s="316"/>
      <c r="L11" s="189"/>
      <c r="M11" s="35"/>
      <c r="N11" s="42"/>
    </row>
    <row r="12">
      <c r="A12" s="14"/>
      <c r="B12" s="191" t="s">
        <v>17</v>
      </c>
      <c r="C12" s="315">
        <v>6.0</v>
      </c>
      <c r="D12" s="17" t="s">
        <v>27</v>
      </c>
      <c r="E12" s="18" t="s">
        <v>30</v>
      </c>
      <c r="F12" s="18" t="s">
        <v>35</v>
      </c>
      <c r="G12" s="19" t="s">
        <v>19</v>
      </c>
      <c r="I12" s="49"/>
      <c r="J12" s="216"/>
      <c r="K12" s="316"/>
      <c r="L12" s="189"/>
      <c r="M12" s="35"/>
      <c r="N12" s="42"/>
    </row>
    <row r="13">
      <c r="A13" s="14"/>
      <c r="B13" s="191" t="s">
        <v>21</v>
      </c>
      <c r="C13" s="315">
        <v>7.0</v>
      </c>
      <c r="D13" s="17" t="s">
        <v>27</v>
      </c>
      <c r="E13" s="18" t="s">
        <v>13</v>
      </c>
      <c r="F13" s="19" t="s">
        <v>26</v>
      </c>
      <c r="G13" s="18" t="s">
        <v>15</v>
      </c>
      <c r="I13" s="49"/>
      <c r="J13" s="50"/>
      <c r="K13" s="317"/>
      <c r="L13" s="189"/>
      <c r="M13" s="189"/>
      <c r="N13" s="42"/>
    </row>
    <row r="14">
      <c r="A14" s="14"/>
      <c r="B14" s="191" t="s">
        <v>23</v>
      </c>
      <c r="C14" s="315">
        <v>8.0</v>
      </c>
      <c r="D14" s="17" t="s">
        <v>27</v>
      </c>
      <c r="E14" s="18" t="s">
        <v>30</v>
      </c>
      <c r="F14" s="19" t="s">
        <v>26</v>
      </c>
      <c r="G14" s="18" t="s">
        <v>19</v>
      </c>
      <c r="I14" s="49"/>
      <c r="J14" s="216"/>
      <c r="K14" s="316"/>
      <c r="L14" s="189"/>
      <c r="M14" s="35"/>
      <c r="N14" s="42"/>
    </row>
    <row r="15">
      <c r="A15" s="14"/>
      <c r="B15" s="25" t="s">
        <v>25</v>
      </c>
      <c r="C15" s="26">
        <v>9.0</v>
      </c>
      <c r="D15" s="17" t="s">
        <v>12</v>
      </c>
      <c r="E15" s="18" t="s">
        <v>30</v>
      </c>
      <c r="F15" s="19" t="s">
        <v>35</v>
      </c>
      <c r="G15" s="18" t="s">
        <v>15</v>
      </c>
      <c r="I15" s="27" t="s">
        <v>25</v>
      </c>
      <c r="J15" s="46">
        <v>9.0</v>
      </c>
      <c r="K15" s="318" t="s">
        <v>27</v>
      </c>
      <c r="L15" s="30"/>
      <c r="M15" s="30"/>
      <c r="N15" s="31"/>
    </row>
    <row r="16">
      <c r="A16" s="14"/>
      <c r="B16" s="23"/>
      <c r="C16" s="23"/>
      <c r="D16" s="17" t="s">
        <v>16</v>
      </c>
      <c r="E16" s="18" t="s">
        <v>30</v>
      </c>
      <c r="F16" s="19" t="s">
        <v>35</v>
      </c>
      <c r="G16" s="18" t="s">
        <v>15</v>
      </c>
      <c r="I16" s="32"/>
      <c r="J16" s="45"/>
      <c r="L16" s="30"/>
      <c r="M16" s="35"/>
      <c r="N16" s="36"/>
    </row>
    <row r="17">
      <c r="A17" s="14"/>
      <c r="B17" s="25" t="s">
        <v>29</v>
      </c>
      <c r="C17" s="26">
        <v>10.0</v>
      </c>
      <c r="D17" s="17" t="s">
        <v>12</v>
      </c>
      <c r="E17" s="19" t="s">
        <v>13</v>
      </c>
      <c r="F17" s="18" t="s">
        <v>34</v>
      </c>
      <c r="G17" s="18" t="s">
        <v>19</v>
      </c>
      <c r="I17" s="27" t="s">
        <v>29</v>
      </c>
      <c r="J17" s="43">
        <v>10.0</v>
      </c>
      <c r="K17" s="44" t="s">
        <v>27</v>
      </c>
      <c r="L17" s="30"/>
      <c r="M17" s="30"/>
      <c r="N17" s="31"/>
    </row>
    <row r="18">
      <c r="A18" s="14"/>
      <c r="B18" s="23"/>
      <c r="C18" s="23"/>
      <c r="D18" s="17" t="s">
        <v>16</v>
      </c>
      <c r="E18" s="19" t="s">
        <v>13</v>
      </c>
      <c r="F18" s="18" t="s">
        <v>34</v>
      </c>
      <c r="G18" s="18" t="s">
        <v>19</v>
      </c>
      <c r="I18" s="32"/>
      <c r="J18" s="34"/>
      <c r="K18" s="45"/>
      <c r="L18" s="30"/>
      <c r="M18" s="35"/>
      <c r="N18" s="36"/>
    </row>
    <row r="19">
      <c r="A19" s="14"/>
      <c r="B19" s="25" t="s">
        <v>31</v>
      </c>
      <c r="C19" s="26">
        <v>11.0</v>
      </c>
      <c r="D19" s="17" t="s">
        <v>12</v>
      </c>
      <c r="E19" s="19" t="s">
        <v>43</v>
      </c>
      <c r="F19" s="18" t="s">
        <v>35</v>
      </c>
      <c r="G19" s="18" t="s">
        <v>15</v>
      </c>
      <c r="I19" s="27" t="s">
        <v>31</v>
      </c>
      <c r="J19" s="46">
        <v>11.0</v>
      </c>
      <c r="K19" s="44" t="s">
        <v>200</v>
      </c>
      <c r="L19" s="30"/>
      <c r="M19" s="30"/>
      <c r="N19" s="31"/>
    </row>
    <row r="20">
      <c r="A20" s="14"/>
      <c r="B20" s="23"/>
      <c r="C20" s="23"/>
      <c r="D20" s="17" t="s">
        <v>16</v>
      </c>
      <c r="E20" s="19" t="s">
        <v>43</v>
      </c>
      <c r="F20" s="18" t="s">
        <v>35</v>
      </c>
      <c r="G20" s="18" t="s">
        <v>15</v>
      </c>
      <c r="I20" s="32"/>
      <c r="J20" s="45"/>
      <c r="K20" s="45"/>
      <c r="L20" s="30"/>
      <c r="M20" s="35"/>
      <c r="N20" s="36"/>
      <c r="O20" s="319"/>
    </row>
    <row r="21">
      <c r="A21" s="14"/>
      <c r="B21" s="191" t="s">
        <v>11</v>
      </c>
      <c r="C21" s="315">
        <v>12.0</v>
      </c>
      <c r="D21" s="17" t="s">
        <v>27</v>
      </c>
      <c r="E21" s="18" t="s">
        <v>13</v>
      </c>
      <c r="F21" s="19" t="s">
        <v>14</v>
      </c>
      <c r="G21" s="18" t="s">
        <v>15</v>
      </c>
      <c r="I21" s="20"/>
      <c r="J21" s="21"/>
      <c r="K21" s="189"/>
      <c r="L21" s="189"/>
      <c r="M21" s="35"/>
      <c r="N21" s="42"/>
    </row>
    <row r="22">
      <c r="A22" s="14"/>
      <c r="B22" s="191" t="s">
        <v>17</v>
      </c>
      <c r="C22" s="315">
        <v>13.0</v>
      </c>
      <c r="D22" s="17" t="s">
        <v>27</v>
      </c>
      <c r="E22" s="18" t="s">
        <v>30</v>
      </c>
      <c r="F22" s="18" t="s">
        <v>14</v>
      </c>
      <c r="G22" s="18" t="s">
        <v>19</v>
      </c>
      <c r="I22" s="20"/>
      <c r="J22" s="21"/>
      <c r="K22" s="189"/>
      <c r="L22" s="189"/>
      <c r="M22" s="35"/>
      <c r="N22" s="42"/>
    </row>
    <row r="23">
      <c r="A23" s="14"/>
      <c r="B23" s="191" t="s">
        <v>21</v>
      </c>
      <c r="C23" s="315">
        <v>14.0</v>
      </c>
      <c r="D23" s="17" t="s">
        <v>27</v>
      </c>
      <c r="E23" s="18" t="s">
        <v>13</v>
      </c>
      <c r="F23" s="19" t="s">
        <v>26</v>
      </c>
      <c r="G23" s="18" t="s">
        <v>15</v>
      </c>
      <c r="I23" s="20"/>
      <c r="J23" s="21"/>
      <c r="K23" s="189"/>
      <c r="L23" s="189"/>
      <c r="M23" s="189"/>
      <c r="N23" s="190"/>
    </row>
    <row r="24">
      <c r="A24" s="14"/>
      <c r="B24" s="191" t="s">
        <v>23</v>
      </c>
      <c r="C24" s="315">
        <v>15.0</v>
      </c>
      <c r="D24" s="17" t="s">
        <v>27</v>
      </c>
      <c r="E24" s="18" t="s">
        <v>13</v>
      </c>
      <c r="F24" s="18" t="s">
        <v>14</v>
      </c>
      <c r="G24" s="18" t="s">
        <v>15</v>
      </c>
      <c r="I24" s="20"/>
      <c r="J24" s="21"/>
      <c r="K24" s="189"/>
      <c r="L24" s="189"/>
      <c r="M24" s="189"/>
      <c r="N24" s="190"/>
    </row>
    <row r="25">
      <c r="A25" s="14"/>
      <c r="B25" s="25" t="s">
        <v>25</v>
      </c>
      <c r="C25" s="26">
        <v>16.0</v>
      </c>
      <c r="D25" s="17" t="s">
        <v>12</v>
      </c>
      <c r="E25" s="18" t="s">
        <v>30</v>
      </c>
      <c r="F25" s="18" t="s">
        <v>35</v>
      </c>
      <c r="G25" s="18" t="s">
        <v>19</v>
      </c>
      <c r="I25" s="27" t="s">
        <v>25</v>
      </c>
      <c r="J25" s="46">
        <v>16.0</v>
      </c>
      <c r="K25" s="318" t="s">
        <v>27</v>
      </c>
      <c r="L25" s="30"/>
      <c r="M25" s="30"/>
      <c r="N25" s="31"/>
    </row>
    <row r="26">
      <c r="A26" s="14"/>
      <c r="B26" s="23"/>
      <c r="C26" s="23"/>
      <c r="D26" s="17" t="s">
        <v>16</v>
      </c>
      <c r="E26" s="18" t="s">
        <v>30</v>
      </c>
      <c r="F26" s="18" t="s">
        <v>35</v>
      </c>
      <c r="G26" s="18" t="s">
        <v>19</v>
      </c>
      <c r="I26" s="32"/>
      <c r="J26" s="45"/>
      <c r="L26" s="30"/>
      <c r="M26" s="35"/>
      <c r="N26" s="36"/>
    </row>
    <row r="27">
      <c r="A27" s="14"/>
      <c r="B27" s="25" t="s">
        <v>29</v>
      </c>
      <c r="C27" s="26">
        <v>17.0</v>
      </c>
      <c r="D27" s="17" t="s">
        <v>12</v>
      </c>
      <c r="E27" s="18" t="s">
        <v>13</v>
      </c>
      <c r="F27" s="18" t="s">
        <v>34</v>
      </c>
      <c r="G27" s="18" t="s">
        <v>50</v>
      </c>
      <c r="I27" s="27" t="s">
        <v>29</v>
      </c>
      <c r="J27" s="43">
        <v>17.0</v>
      </c>
      <c r="K27" s="44" t="s">
        <v>27</v>
      </c>
      <c r="L27" s="30"/>
      <c r="M27" s="30"/>
      <c r="N27" s="31"/>
    </row>
    <row r="28">
      <c r="A28" s="14"/>
      <c r="B28" s="23"/>
      <c r="C28" s="23"/>
      <c r="D28" s="17" t="s">
        <v>16</v>
      </c>
      <c r="E28" s="18" t="s">
        <v>13</v>
      </c>
      <c r="F28" s="18" t="s">
        <v>34</v>
      </c>
      <c r="G28" s="18" t="s">
        <v>50</v>
      </c>
      <c r="I28" s="32"/>
      <c r="J28" s="34"/>
      <c r="K28" s="45"/>
      <c r="L28" s="30"/>
      <c r="M28" s="35"/>
      <c r="N28" s="299"/>
    </row>
    <row r="29">
      <c r="A29" s="14"/>
      <c r="B29" s="25" t="s">
        <v>31</v>
      </c>
      <c r="C29" s="26">
        <v>18.0</v>
      </c>
      <c r="D29" s="17" t="s">
        <v>12</v>
      </c>
      <c r="E29" s="18" t="s">
        <v>13</v>
      </c>
      <c r="F29" s="18" t="s">
        <v>26</v>
      </c>
      <c r="G29" s="18" t="s">
        <v>15</v>
      </c>
      <c r="I29" s="27" t="s">
        <v>31</v>
      </c>
      <c r="J29" s="46">
        <v>18.0</v>
      </c>
      <c r="K29" s="44" t="s">
        <v>200</v>
      </c>
      <c r="L29" s="47" t="s">
        <v>30</v>
      </c>
      <c r="M29" s="30" t="s">
        <v>34</v>
      </c>
      <c r="N29" s="31" t="s">
        <v>19</v>
      </c>
    </row>
    <row r="30">
      <c r="A30" s="14"/>
      <c r="B30" s="23"/>
      <c r="C30" s="23"/>
      <c r="D30" s="17" t="s">
        <v>16</v>
      </c>
      <c r="E30" s="18" t="s">
        <v>13</v>
      </c>
      <c r="F30" s="18" t="s">
        <v>26</v>
      </c>
      <c r="G30" s="18" t="s">
        <v>15</v>
      </c>
      <c r="I30" s="32"/>
      <c r="J30" s="45"/>
      <c r="K30" s="45"/>
      <c r="L30" s="30" t="s">
        <v>44</v>
      </c>
      <c r="M30" s="35"/>
      <c r="N30" s="36"/>
    </row>
    <row r="31">
      <c r="A31" s="14"/>
      <c r="B31" s="191" t="s">
        <v>11</v>
      </c>
      <c r="C31" s="192">
        <v>19.0</v>
      </c>
      <c r="D31" s="17" t="s">
        <v>27</v>
      </c>
      <c r="E31" s="18" t="s">
        <v>13</v>
      </c>
      <c r="F31" s="19" t="s">
        <v>14</v>
      </c>
      <c r="G31" s="18" t="s">
        <v>15</v>
      </c>
      <c r="I31" s="20"/>
      <c r="J31" s="21"/>
      <c r="K31" s="189"/>
      <c r="L31" s="189"/>
      <c r="M31" s="35"/>
      <c r="N31" s="42"/>
    </row>
    <row r="32">
      <c r="A32" s="14"/>
      <c r="B32" s="191" t="s">
        <v>17</v>
      </c>
      <c r="C32" s="192">
        <v>20.0</v>
      </c>
      <c r="D32" s="17" t="s">
        <v>27</v>
      </c>
      <c r="E32" s="18" t="s">
        <v>30</v>
      </c>
      <c r="F32" s="18" t="s">
        <v>34</v>
      </c>
      <c r="G32" s="18" t="s">
        <v>19</v>
      </c>
      <c r="I32" s="20"/>
      <c r="J32" s="21"/>
      <c r="K32" s="189"/>
      <c r="L32" s="189"/>
      <c r="M32" s="189"/>
      <c r="N32" s="190"/>
    </row>
    <row r="33">
      <c r="A33" s="14"/>
      <c r="B33" s="191" t="s">
        <v>21</v>
      </c>
      <c r="C33" s="192">
        <v>21.0</v>
      </c>
      <c r="D33" s="17" t="s">
        <v>27</v>
      </c>
      <c r="E33" s="18" t="s">
        <v>13</v>
      </c>
      <c r="F33" s="18" t="s">
        <v>26</v>
      </c>
      <c r="G33" s="18" t="s">
        <v>19</v>
      </c>
      <c r="I33" s="49"/>
      <c r="J33" s="50"/>
      <c r="K33" s="317"/>
      <c r="L33" s="189"/>
      <c r="M33" s="189"/>
      <c r="N33" s="42"/>
    </row>
    <row r="34">
      <c r="A34" s="14"/>
      <c r="B34" s="191" t="s">
        <v>23</v>
      </c>
      <c r="C34" s="192">
        <v>22.0</v>
      </c>
      <c r="D34" s="17" t="s">
        <v>27</v>
      </c>
      <c r="E34" s="18" t="s">
        <v>13</v>
      </c>
      <c r="F34" s="18" t="s">
        <v>14</v>
      </c>
      <c r="G34" s="18" t="s">
        <v>15</v>
      </c>
      <c r="I34" s="20"/>
      <c r="J34" s="21"/>
      <c r="K34" s="189"/>
      <c r="L34" s="189"/>
      <c r="M34" s="35"/>
      <c r="N34" s="42"/>
    </row>
    <row r="35">
      <c r="A35" s="14"/>
      <c r="B35" s="25" t="s">
        <v>25</v>
      </c>
      <c r="C35" s="26">
        <v>23.0</v>
      </c>
      <c r="D35" s="17" t="s">
        <v>12</v>
      </c>
      <c r="E35" s="18" t="s">
        <v>30</v>
      </c>
      <c r="F35" s="18" t="s">
        <v>34</v>
      </c>
      <c r="G35" s="18" t="s">
        <v>19</v>
      </c>
      <c r="I35" s="27" t="s">
        <v>25</v>
      </c>
      <c r="J35" s="46">
        <v>23.0</v>
      </c>
      <c r="K35" s="318" t="s">
        <v>27</v>
      </c>
      <c r="L35" s="30"/>
      <c r="M35" s="30"/>
      <c r="N35" s="31"/>
    </row>
    <row r="36">
      <c r="A36" s="14"/>
      <c r="B36" s="23"/>
      <c r="C36" s="23"/>
      <c r="D36" s="17" t="s">
        <v>16</v>
      </c>
      <c r="E36" s="18" t="s">
        <v>30</v>
      </c>
      <c r="F36" s="18" t="s">
        <v>34</v>
      </c>
      <c r="G36" s="18" t="s">
        <v>19</v>
      </c>
      <c r="I36" s="32"/>
      <c r="J36" s="45"/>
      <c r="L36" s="30"/>
      <c r="M36" s="35"/>
      <c r="N36" s="36"/>
    </row>
    <row r="37">
      <c r="A37" s="14"/>
      <c r="B37" s="25" t="s">
        <v>29</v>
      </c>
      <c r="C37" s="26">
        <v>24.0</v>
      </c>
      <c r="D37" s="17" t="s">
        <v>12</v>
      </c>
      <c r="E37" s="18" t="s">
        <v>30</v>
      </c>
      <c r="F37" s="18" t="s">
        <v>18</v>
      </c>
      <c r="G37" s="18" t="s">
        <v>15</v>
      </c>
      <c r="I37" s="27" t="s">
        <v>29</v>
      </c>
      <c r="J37" s="43">
        <v>24.0</v>
      </c>
      <c r="K37" s="44" t="s">
        <v>27</v>
      </c>
      <c r="L37" s="30"/>
      <c r="M37" s="30"/>
      <c r="N37" s="31"/>
    </row>
    <row r="38">
      <c r="A38" s="14"/>
      <c r="B38" s="23"/>
      <c r="C38" s="23"/>
      <c r="D38" s="17" t="s">
        <v>16</v>
      </c>
      <c r="E38" s="18" t="s">
        <v>30</v>
      </c>
      <c r="F38" s="18" t="s">
        <v>18</v>
      </c>
      <c r="G38" s="18" t="s">
        <v>15</v>
      </c>
      <c r="I38" s="32"/>
      <c r="J38" s="34"/>
      <c r="K38" s="45"/>
      <c r="L38" s="30"/>
      <c r="M38" s="35"/>
      <c r="N38" s="299"/>
    </row>
    <row r="39">
      <c r="A39" s="14"/>
      <c r="B39" s="25" t="s">
        <v>31</v>
      </c>
      <c r="C39" s="26">
        <v>25.0</v>
      </c>
      <c r="D39" s="17" t="s">
        <v>12</v>
      </c>
      <c r="E39" s="18" t="s">
        <v>30</v>
      </c>
      <c r="F39" s="18" t="s">
        <v>18</v>
      </c>
      <c r="G39" s="18" t="s">
        <v>19</v>
      </c>
      <c r="I39" s="27" t="s">
        <v>31</v>
      </c>
      <c r="J39" s="46">
        <v>25.0</v>
      </c>
      <c r="K39" s="44" t="s">
        <v>200</v>
      </c>
      <c r="L39" s="30"/>
      <c r="M39" s="30"/>
      <c r="N39" s="31"/>
    </row>
    <row r="40">
      <c r="A40" s="14"/>
      <c r="B40" s="23"/>
      <c r="C40" s="23"/>
      <c r="D40" s="17" t="s">
        <v>16</v>
      </c>
      <c r="E40" s="18" t="s">
        <v>30</v>
      </c>
      <c r="F40" s="18" t="s">
        <v>18</v>
      </c>
      <c r="G40" s="18" t="s">
        <v>19</v>
      </c>
      <c r="I40" s="32"/>
      <c r="J40" s="45"/>
      <c r="K40" s="45"/>
      <c r="L40" s="35"/>
      <c r="M40" s="35"/>
      <c r="N40" s="36"/>
    </row>
    <row r="41">
      <c r="A41" s="14"/>
      <c r="B41" s="191" t="s">
        <v>11</v>
      </c>
      <c r="C41" s="192">
        <v>26.0</v>
      </c>
      <c r="D41" s="17" t="s">
        <v>27</v>
      </c>
      <c r="E41" s="18" t="s">
        <v>13</v>
      </c>
      <c r="F41" s="19" t="s">
        <v>14</v>
      </c>
      <c r="G41" s="19" t="s">
        <v>15</v>
      </c>
      <c r="I41" s="20"/>
      <c r="J41" s="21"/>
      <c r="K41" s="21"/>
      <c r="L41" s="21"/>
      <c r="M41" s="320"/>
      <c r="N41" s="221"/>
    </row>
    <row r="42">
      <c r="A42" s="14"/>
      <c r="B42" s="191" t="s">
        <v>17</v>
      </c>
      <c r="C42" s="192">
        <v>27.0</v>
      </c>
      <c r="D42" s="17" t="s">
        <v>27</v>
      </c>
      <c r="E42" s="18" t="s">
        <v>30</v>
      </c>
      <c r="F42" s="18" t="s">
        <v>34</v>
      </c>
      <c r="G42" s="19" t="s">
        <v>19</v>
      </c>
      <c r="I42" s="20"/>
      <c r="J42" s="21"/>
      <c r="K42" s="21"/>
      <c r="L42" s="21"/>
      <c r="M42" s="21"/>
      <c r="N42" s="22"/>
    </row>
    <row r="43">
      <c r="A43" s="14"/>
      <c r="B43" s="191" t="s">
        <v>21</v>
      </c>
      <c r="C43" s="192">
        <v>28.0</v>
      </c>
      <c r="D43" s="17" t="s">
        <v>27</v>
      </c>
      <c r="E43" s="18" t="s">
        <v>30</v>
      </c>
      <c r="F43" s="18" t="s">
        <v>26</v>
      </c>
      <c r="G43" s="18" t="s">
        <v>19</v>
      </c>
      <c r="I43" s="49"/>
      <c r="J43" s="50"/>
      <c r="K43" s="317"/>
      <c r="L43" s="189"/>
      <c r="M43" s="189"/>
      <c r="N43" s="42"/>
    </row>
    <row r="44">
      <c r="A44" s="14"/>
      <c r="B44" s="191" t="s">
        <v>23</v>
      </c>
      <c r="C44" s="192">
        <v>29.0</v>
      </c>
      <c r="D44" s="17" t="s">
        <v>27</v>
      </c>
      <c r="E44" s="18" t="s">
        <v>13</v>
      </c>
      <c r="F44" s="18" t="s">
        <v>14</v>
      </c>
      <c r="G44" s="18" t="s">
        <v>15</v>
      </c>
      <c r="I44" s="49"/>
      <c r="J44" s="50"/>
      <c r="K44" s="321"/>
      <c r="L44" s="189"/>
      <c r="M44" s="189"/>
      <c r="N44" s="42"/>
    </row>
    <row r="45">
      <c r="A45" s="14"/>
      <c r="B45" s="25" t="s">
        <v>25</v>
      </c>
      <c r="C45" s="26">
        <v>30.0</v>
      </c>
      <c r="D45" s="17" t="s">
        <v>12</v>
      </c>
      <c r="E45" s="18" t="s">
        <v>30</v>
      </c>
      <c r="F45" s="18" t="s">
        <v>26</v>
      </c>
      <c r="G45" s="18" t="s">
        <v>15</v>
      </c>
      <c r="I45" s="27" t="s">
        <v>25</v>
      </c>
      <c r="J45" s="46">
        <v>30.0</v>
      </c>
      <c r="K45" s="318" t="s">
        <v>27</v>
      </c>
      <c r="L45" s="30"/>
      <c r="M45" s="30"/>
      <c r="N45" s="31"/>
    </row>
    <row r="46">
      <c r="A46" s="14"/>
      <c r="B46" s="23"/>
      <c r="C46" s="23"/>
      <c r="D46" s="17" t="s">
        <v>16</v>
      </c>
      <c r="E46" s="18" t="s">
        <v>30</v>
      </c>
      <c r="F46" s="18" t="s">
        <v>26</v>
      </c>
      <c r="G46" s="18" t="s">
        <v>15</v>
      </c>
      <c r="I46" s="32"/>
      <c r="J46" s="45"/>
      <c r="L46" s="30"/>
      <c r="M46" s="35"/>
      <c r="N46" s="36"/>
    </row>
    <row r="47">
      <c r="A47" s="14"/>
      <c r="B47" s="25" t="s">
        <v>29</v>
      </c>
      <c r="C47" s="26">
        <v>31.0</v>
      </c>
      <c r="D47" s="17" t="s">
        <v>12</v>
      </c>
      <c r="E47" s="18" t="s">
        <v>13</v>
      </c>
      <c r="F47" s="18" t="s">
        <v>34</v>
      </c>
      <c r="G47" s="18" t="s">
        <v>19</v>
      </c>
      <c r="I47" s="27" t="s">
        <v>29</v>
      </c>
      <c r="J47" s="43">
        <v>31.0</v>
      </c>
      <c r="K47" s="44" t="s">
        <v>27</v>
      </c>
      <c r="L47" s="30"/>
      <c r="M47" s="30"/>
      <c r="N47" s="31"/>
    </row>
    <row r="48">
      <c r="A48" s="14"/>
      <c r="B48" s="23"/>
      <c r="C48" s="23"/>
      <c r="D48" s="17" t="s">
        <v>16</v>
      </c>
      <c r="E48" s="18" t="s">
        <v>13</v>
      </c>
      <c r="F48" s="18" t="s">
        <v>34</v>
      </c>
      <c r="G48" s="18" t="s">
        <v>19</v>
      </c>
      <c r="I48" s="32"/>
      <c r="J48" s="34"/>
      <c r="K48" s="45"/>
      <c r="L48" s="44"/>
      <c r="M48" s="322"/>
      <c r="N48" s="323"/>
    </row>
    <row r="49">
      <c r="E49" s="63">
        <f>COUNTIF(E4:E48, "Mira") + Countif(E4:E48, "Tuna")+ Countif(E4:E48, "Gustavo")+ Countif(E4:E48, "Pablo")+ Countif(E4:E48, "Tavares")+ Countif(E4:E48, "Sobral") + Countif(E4:E48, "Pipo")+ Countif(E4:E48, "Enfermagem")+ Countif(E4:E48, "Literatus")+ Countif(E4:E48, "Medicina")</f>
        <v>45</v>
      </c>
      <c r="F49" s="63">
        <f>Countif(F4:F48, "Gift") + Countif(F4:F48, "Monte") + Countif(F4:F48, "Sorte") + Countif(F4:F48, "Afonso") + Countif(F4:F48, "Geni") + Countif(F4:F48, "JP")</f>
        <v>45</v>
      </c>
      <c r="G49" s="63">
        <f>COUNTIF(G4:G48, "Apostas") + COUNTIF(G4:G48, "Prodígio") + COUNTIF(G4:G48, "Poço") + COUNTIF(G4:G48, "Pedro")</f>
        <v>45</v>
      </c>
      <c r="I49" s="324"/>
      <c r="J49" s="324"/>
      <c r="K49" s="324"/>
      <c r="L49" s="325">
        <f>COUNTIF(L4:L48, "Mira") + Countif(L4:L48, "Tuna")+ Countif(L4:L48, "Gustavo")+ Countif(L4:L48, "Pablo")+ Countif(L4:L48, "Tavares")+ Countif(L4:L48, "Sobral") + Countif(L4:L48, "Pipo")+ Countif(L4:L48, "Enfermagem")+ Countif(L4:L48, "Literatus")+ Countif(L4:L48, "Medicina")</f>
        <v>7</v>
      </c>
      <c r="M49" s="325">
        <f>Countif(M4:M46, "Gift") + Countif(M4:M46, "Monte") + Countif(M4:M46, "Sorte") + Countif(M4:M46, "Afonso") + Countif(M4:M46, "Geni") + Countif(M4:M46, "JP")</f>
        <v>4</v>
      </c>
      <c r="N49" s="325">
        <f>Countif(N4:N46, "Apostas") + Countif(N4:N46, "Prodígio") + Countif(N4:N46, "Poço")</f>
        <v>4</v>
      </c>
    </row>
    <row r="54" ht="22.5" customHeight="1">
      <c r="D54" s="65" t="s">
        <v>36</v>
      </c>
      <c r="E54" s="65" t="s">
        <v>37</v>
      </c>
      <c r="F54" s="65" t="s">
        <v>38</v>
      </c>
      <c r="G54" s="66" t="s">
        <v>39</v>
      </c>
      <c r="H54" s="67" t="s">
        <v>40</v>
      </c>
      <c r="K54" s="65" t="s">
        <v>36</v>
      </c>
      <c r="L54" s="65" t="s">
        <v>37</v>
      </c>
      <c r="M54" s="65" t="s">
        <v>38</v>
      </c>
      <c r="N54" s="66" t="s">
        <v>39</v>
      </c>
      <c r="O54" s="67" t="s">
        <v>40</v>
      </c>
      <c r="R54" s="68" t="s">
        <v>41</v>
      </c>
    </row>
    <row r="55" ht="22.5" customHeight="1">
      <c r="C55" s="69" t="s">
        <v>42</v>
      </c>
      <c r="D55" s="70" t="s">
        <v>22</v>
      </c>
      <c r="E55" s="71">
        <f>COUNTIF(E3:E48,"Tuna")</f>
        <v>0</v>
      </c>
      <c r="F55" s="72">
        <f t="shared" ref="F55:F74" si="1">((60/3)*E55)</f>
        <v>0</v>
      </c>
      <c r="G55" s="73">
        <f>E49</f>
        <v>45</v>
      </c>
      <c r="H55" s="74">
        <f>SUM(F55:F62)</f>
        <v>900</v>
      </c>
      <c r="J55" s="69" t="s">
        <v>42</v>
      </c>
      <c r="K55" s="70" t="s">
        <v>22</v>
      </c>
      <c r="L55" s="71">
        <f>COUNTIF(L1:L46,"Tuna")</f>
        <v>0</v>
      </c>
      <c r="M55" s="72">
        <f>((75/3)*L55)</f>
        <v>0</v>
      </c>
      <c r="N55" s="73">
        <f>SUM(L55:L61)</f>
        <v>6</v>
      </c>
      <c r="O55" s="74">
        <f>SUM(M55:M62)</f>
        <v>245</v>
      </c>
      <c r="Q55" s="75" t="s">
        <v>22</v>
      </c>
      <c r="R55" s="76">
        <f t="shared" ref="R55:R74" si="2">SUM(F55,M55)</f>
        <v>0</v>
      </c>
    </row>
    <row r="56" ht="22.5" customHeight="1">
      <c r="C56" s="77"/>
      <c r="D56" s="78" t="s">
        <v>30</v>
      </c>
      <c r="E56" s="79">
        <f>COUNTIF(E3:E48,"Mira")</f>
        <v>20</v>
      </c>
      <c r="F56" s="80">
        <f t="shared" si="1"/>
        <v>400</v>
      </c>
      <c r="G56" s="81"/>
      <c r="H56" s="82"/>
      <c r="J56" s="77"/>
      <c r="K56" s="78" t="s">
        <v>30</v>
      </c>
      <c r="L56" s="79">
        <f>COUNTIF(L1:L46,"Mira")</f>
        <v>3</v>
      </c>
      <c r="M56" s="80">
        <f>((75/3)*L56) + 10</f>
        <v>85</v>
      </c>
      <c r="N56" s="81"/>
      <c r="O56" s="82"/>
      <c r="Q56" s="83" t="s">
        <v>30</v>
      </c>
      <c r="R56" s="76">
        <f t="shared" si="2"/>
        <v>485</v>
      </c>
    </row>
    <row r="57" ht="22.5" customHeight="1">
      <c r="C57" s="77"/>
      <c r="D57" s="78" t="s">
        <v>13</v>
      </c>
      <c r="E57" s="79">
        <f>COUNTIF(E3:E48,"Pipo")</f>
        <v>20</v>
      </c>
      <c r="F57" s="80">
        <f t="shared" si="1"/>
        <v>400</v>
      </c>
      <c r="G57" s="81"/>
      <c r="H57" s="82"/>
      <c r="J57" s="77"/>
      <c r="K57" s="78" t="s">
        <v>13</v>
      </c>
      <c r="L57" s="79">
        <f>COUNTIF(L5:L49,"Pipo")</f>
        <v>1</v>
      </c>
      <c r="M57" s="84">
        <f>(75+(75/3)*L57)</f>
        <v>100</v>
      </c>
      <c r="N57" s="81"/>
      <c r="O57" s="82"/>
      <c r="Q57" s="83" t="s">
        <v>13</v>
      </c>
      <c r="R57" s="76">
        <f t="shared" si="2"/>
        <v>500</v>
      </c>
    </row>
    <row r="58" ht="22.5" customHeight="1">
      <c r="C58" s="77"/>
      <c r="D58" s="78" t="s">
        <v>43</v>
      </c>
      <c r="E58" s="79">
        <f>COUNTIF(E3:E48,"Pablo")</f>
        <v>2</v>
      </c>
      <c r="F58" s="84">
        <f t="shared" si="1"/>
        <v>40</v>
      </c>
      <c r="G58" s="81"/>
      <c r="H58" s="82"/>
      <c r="J58" s="77"/>
      <c r="K58" s="78" t="s">
        <v>43</v>
      </c>
      <c r="L58" s="79">
        <f>COUNTIF(L1:L46,"Pablo")</f>
        <v>0</v>
      </c>
      <c r="M58" s="84">
        <f>((75/3)*L58)</f>
        <v>0</v>
      </c>
      <c r="N58" s="81"/>
      <c r="O58" s="82"/>
      <c r="Q58" s="83" t="s">
        <v>43</v>
      </c>
      <c r="R58" s="76">
        <f t="shared" si="2"/>
        <v>40</v>
      </c>
    </row>
    <row r="59" ht="22.5" customHeight="1">
      <c r="C59" s="77"/>
      <c r="D59" s="78" t="s">
        <v>44</v>
      </c>
      <c r="E59" s="79">
        <f>COUNTIF(E3:E48,"Tavares")</f>
        <v>3</v>
      </c>
      <c r="F59" s="84">
        <f t="shared" si="1"/>
        <v>60</v>
      </c>
      <c r="G59" s="81"/>
      <c r="H59" s="82"/>
      <c r="J59" s="77"/>
      <c r="K59" s="78" t="s">
        <v>44</v>
      </c>
      <c r="L59" s="79">
        <f>COUNTIF(L1:L46,"Tavares")</f>
        <v>2</v>
      </c>
      <c r="M59" s="84">
        <f>((75/3)*L59) + 10</f>
        <v>60</v>
      </c>
      <c r="N59" s="81"/>
      <c r="O59" s="82"/>
      <c r="Q59" s="83" t="s">
        <v>44</v>
      </c>
      <c r="R59" s="76">
        <f t="shared" si="2"/>
        <v>120</v>
      </c>
    </row>
    <row r="60" ht="22.5" customHeight="1">
      <c r="C60" s="77"/>
      <c r="D60" s="78" t="s">
        <v>201</v>
      </c>
      <c r="E60" s="79">
        <f>COUNTIF(E3:E48,"Gustavo")</f>
        <v>0</v>
      </c>
      <c r="F60" s="84">
        <f t="shared" si="1"/>
        <v>0</v>
      </c>
      <c r="G60" s="81"/>
      <c r="H60" s="82"/>
      <c r="J60" s="77"/>
      <c r="K60" s="78" t="s">
        <v>201</v>
      </c>
      <c r="L60" s="79">
        <f>COUNTIF(L4:L51,"Gustavo")</f>
        <v>0</v>
      </c>
      <c r="M60" s="84">
        <f t="shared" ref="M60:M63" si="3">((75/3)*L60)</f>
        <v>0</v>
      </c>
      <c r="N60" s="81"/>
      <c r="O60" s="82"/>
      <c r="Q60" s="83" t="s">
        <v>201</v>
      </c>
      <c r="R60" s="76">
        <f t="shared" si="2"/>
        <v>0</v>
      </c>
    </row>
    <row r="61" ht="22.5" customHeight="1">
      <c r="C61" s="77"/>
      <c r="D61" s="326" t="s">
        <v>46</v>
      </c>
      <c r="E61" s="327">
        <f>COUNTIF(E3:E48,"Tomás")</f>
        <v>0</v>
      </c>
      <c r="F61" s="328">
        <f t="shared" si="1"/>
        <v>0</v>
      </c>
      <c r="G61" s="81"/>
      <c r="H61" s="82"/>
      <c r="J61" s="77"/>
      <c r="K61" s="326" t="s">
        <v>46</v>
      </c>
      <c r="L61" s="327">
        <f>COUNTIF(L2:L48,"Tomás")</f>
        <v>0</v>
      </c>
      <c r="M61" s="328">
        <f t="shared" si="3"/>
        <v>0</v>
      </c>
      <c r="N61" s="81"/>
      <c r="O61" s="82"/>
      <c r="Q61" s="97" t="s">
        <v>46</v>
      </c>
      <c r="R61" s="76">
        <f t="shared" si="2"/>
        <v>0</v>
      </c>
    </row>
    <row r="62" ht="22.5" customHeight="1">
      <c r="C62" s="91"/>
      <c r="D62" s="329" t="s">
        <v>206</v>
      </c>
      <c r="E62" s="330">
        <f>COUNTIF(E4:E49,"Nico")</f>
        <v>0</v>
      </c>
      <c r="F62" s="331">
        <f t="shared" si="1"/>
        <v>0</v>
      </c>
      <c r="G62" s="95"/>
      <c r="H62" s="96"/>
      <c r="J62" s="91"/>
      <c r="K62" s="329" t="s">
        <v>206</v>
      </c>
      <c r="L62" s="330">
        <f>COUNTIF(L3:L49,"Nico")</f>
        <v>0</v>
      </c>
      <c r="M62" s="331">
        <f t="shared" si="3"/>
        <v>0</v>
      </c>
      <c r="N62" s="95"/>
      <c r="O62" s="96"/>
      <c r="Q62" s="239" t="s">
        <v>206</v>
      </c>
      <c r="R62" s="98">
        <f t="shared" si="2"/>
        <v>0</v>
      </c>
    </row>
    <row r="63" ht="22.5" customHeight="1">
      <c r="C63" s="69" t="s">
        <v>47</v>
      </c>
      <c r="D63" s="99" t="s">
        <v>35</v>
      </c>
      <c r="E63" s="100">
        <f>Countif(F3:F48,"Gift")</f>
        <v>11</v>
      </c>
      <c r="F63" s="101">
        <f t="shared" si="1"/>
        <v>220</v>
      </c>
      <c r="G63" s="102">
        <f>F49</f>
        <v>45</v>
      </c>
      <c r="H63" s="103">
        <f>SUM(F63:F69)</f>
        <v>900</v>
      </c>
      <c r="J63" s="69" t="s">
        <v>47</v>
      </c>
      <c r="K63" s="99" t="s">
        <v>35</v>
      </c>
      <c r="L63" s="100">
        <f>Countif(M1:M46,"Gift")</f>
        <v>1</v>
      </c>
      <c r="M63" s="101">
        <f t="shared" si="3"/>
        <v>25</v>
      </c>
      <c r="N63" s="102">
        <f t="shared" ref="N63:O63" si="4">SUM(L63:L69)</f>
        <v>4</v>
      </c>
      <c r="O63" s="103">
        <f t="shared" si="4"/>
        <v>110</v>
      </c>
      <c r="Q63" s="104" t="s">
        <v>35</v>
      </c>
      <c r="R63" s="105">
        <f t="shared" si="2"/>
        <v>245</v>
      </c>
    </row>
    <row r="64" ht="22.5" customHeight="1">
      <c r="C64" s="77"/>
      <c r="D64" s="99" t="s">
        <v>34</v>
      </c>
      <c r="E64" s="100">
        <f>Countif(F3:F48,"Monte")</f>
        <v>12</v>
      </c>
      <c r="F64" s="101">
        <f t="shared" si="1"/>
        <v>240</v>
      </c>
      <c r="G64" s="106"/>
      <c r="H64" s="82"/>
      <c r="J64" s="77"/>
      <c r="K64" s="99" t="s">
        <v>34</v>
      </c>
      <c r="L64" s="100">
        <f>Countif(M1:M46,"Monte")</f>
        <v>2</v>
      </c>
      <c r="M64" s="101">
        <f>((75/3)*L64) + 10</f>
        <v>60</v>
      </c>
      <c r="N64" s="106"/>
      <c r="O64" s="82"/>
      <c r="Q64" s="83" t="s">
        <v>34</v>
      </c>
      <c r="R64" s="76">
        <f t="shared" si="2"/>
        <v>300</v>
      </c>
    </row>
    <row r="65" ht="22.5" customHeight="1">
      <c r="C65" s="77"/>
      <c r="D65" s="99" t="s">
        <v>26</v>
      </c>
      <c r="E65" s="100">
        <f>Countif(F3:F48,"Sorte")</f>
        <v>10</v>
      </c>
      <c r="F65" s="101">
        <f t="shared" si="1"/>
        <v>200</v>
      </c>
      <c r="G65" s="106"/>
      <c r="H65" s="82"/>
      <c r="J65" s="77"/>
      <c r="K65" s="99" t="s">
        <v>26</v>
      </c>
      <c r="L65" s="100">
        <f>Countif(M1:M46,"Sorte")</f>
        <v>1</v>
      </c>
      <c r="M65" s="101">
        <f t="shared" ref="M65:M69" si="5">((75/3)*L65)</f>
        <v>25</v>
      </c>
      <c r="N65" s="106"/>
      <c r="O65" s="82"/>
      <c r="Q65" s="83" t="s">
        <v>26</v>
      </c>
      <c r="R65" s="76">
        <f t="shared" si="2"/>
        <v>225</v>
      </c>
    </row>
    <row r="66" ht="22.5" customHeight="1">
      <c r="C66" s="77"/>
      <c r="D66" s="99" t="s">
        <v>14</v>
      </c>
      <c r="E66" s="100">
        <f>Countif(F3:F48,"Afonso")</f>
        <v>8</v>
      </c>
      <c r="F66" s="101">
        <f t="shared" si="1"/>
        <v>160</v>
      </c>
      <c r="G66" s="106"/>
      <c r="H66" s="82"/>
      <c r="J66" s="77"/>
      <c r="K66" s="99" t="s">
        <v>14</v>
      </c>
      <c r="L66" s="100">
        <f>Countif(M1:M46,"Afonso")</f>
        <v>0</v>
      </c>
      <c r="M66" s="101">
        <f t="shared" si="5"/>
        <v>0</v>
      </c>
      <c r="N66" s="106"/>
      <c r="O66" s="82"/>
      <c r="Q66" s="83" t="s">
        <v>14</v>
      </c>
      <c r="R66" s="76">
        <f t="shared" si="2"/>
        <v>160</v>
      </c>
    </row>
    <row r="67" ht="22.5" customHeight="1">
      <c r="C67" s="77"/>
      <c r="D67" s="99" t="s">
        <v>18</v>
      </c>
      <c r="E67" s="107">
        <f>Countif(F3:F48,"Geni")</f>
        <v>4</v>
      </c>
      <c r="F67" s="108">
        <f t="shared" si="1"/>
        <v>80</v>
      </c>
      <c r="G67" s="106"/>
      <c r="H67" s="82"/>
      <c r="J67" s="77"/>
      <c r="K67" s="99" t="s">
        <v>18</v>
      </c>
      <c r="L67" s="100">
        <f>Countif(M1:M46,"Geni")</f>
        <v>0</v>
      </c>
      <c r="M67" s="101">
        <f t="shared" si="5"/>
        <v>0</v>
      </c>
      <c r="N67" s="106"/>
      <c r="O67" s="82"/>
      <c r="Q67" s="83" t="s">
        <v>18</v>
      </c>
      <c r="R67" s="76">
        <f t="shared" si="2"/>
        <v>80</v>
      </c>
    </row>
    <row r="68" ht="22.5" customHeight="1">
      <c r="C68" s="77"/>
      <c r="D68" s="326" t="s">
        <v>222</v>
      </c>
      <c r="E68" s="327">
        <f>COUNTIF(F3:F48,"Rufus")</f>
        <v>0</v>
      </c>
      <c r="F68" s="328">
        <f t="shared" si="1"/>
        <v>0</v>
      </c>
      <c r="G68" s="106"/>
      <c r="H68" s="82"/>
      <c r="J68" s="77"/>
      <c r="K68" s="326" t="s">
        <v>222</v>
      </c>
      <c r="L68" s="327">
        <f>COUNTIF(M1:M46,"Rufus")</f>
        <v>0</v>
      </c>
      <c r="M68" s="328">
        <f t="shared" si="5"/>
        <v>0</v>
      </c>
      <c r="N68" s="106"/>
      <c r="O68" s="82"/>
      <c r="Q68" s="97" t="s">
        <v>222</v>
      </c>
      <c r="R68" s="76">
        <f t="shared" si="2"/>
        <v>0</v>
      </c>
    </row>
    <row r="69" ht="22.5" customHeight="1">
      <c r="C69" s="91"/>
      <c r="D69" s="92" t="s">
        <v>48</v>
      </c>
      <c r="E69" s="86">
        <f>Countif(F3:F48,"JP")</f>
        <v>0</v>
      </c>
      <c r="F69" s="87">
        <f t="shared" si="1"/>
        <v>0</v>
      </c>
      <c r="G69" s="106"/>
      <c r="H69" s="82"/>
      <c r="J69" s="91"/>
      <c r="K69" s="92" t="s">
        <v>48</v>
      </c>
      <c r="L69" s="93">
        <f>Countif(M1:M46,"JP")</f>
        <v>0</v>
      </c>
      <c r="M69" s="94">
        <f t="shared" si="5"/>
        <v>0</v>
      </c>
      <c r="N69" s="106"/>
      <c r="O69" s="82"/>
      <c r="Q69" s="97" t="s">
        <v>48</v>
      </c>
      <c r="R69" s="98">
        <f t="shared" si="2"/>
        <v>0</v>
      </c>
    </row>
    <row r="70" ht="22.5" customHeight="1">
      <c r="C70" s="69" t="s">
        <v>49</v>
      </c>
      <c r="D70" s="114" t="s">
        <v>19</v>
      </c>
      <c r="E70" s="115">
        <f>Countif(G3:G48,"Apostas")</f>
        <v>23</v>
      </c>
      <c r="F70" s="112">
        <f t="shared" si="1"/>
        <v>460</v>
      </c>
      <c r="G70" s="73">
        <f>G49</f>
        <v>45</v>
      </c>
      <c r="H70" s="74">
        <f>SUM(F70:F74)</f>
        <v>900</v>
      </c>
      <c r="J70" s="69" t="s">
        <v>49</v>
      </c>
      <c r="K70" s="114" t="s">
        <v>19</v>
      </c>
      <c r="L70" s="115">
        <f>Countif(N1:N46,"Apostas")</f>
        <v>2</v>
      </c>
      <c r="M70" s="112">
        <f>((75/3)*L70) + 10</f>
        <v>60</v>
      </c>
      <c r="N70" s="73">
        <f>SUM(L70:L72)</f>
        <v>4</v>
      </c>
      <c r="O70" s="74">
        <f>SUM(M70:M74)</f>
        <v>110</v>
      </c>
      <c r="Q70" s="104" t="s">
        <v>19</v>
      </c>
      <c r="R70" s="105">
        <f t="shared" si="2"/>
        <v>520</v>
      </c>
    </row>
    <row r="71" ht="22.5" customHeight="1">
      <c r="C71" s="77"/>
      <c r="D71" s="120" t="s">
        <v>15</v>
      </c>
      <c r="E71" s="121">
        <f>Countif(G3:G48,"Prodígio")</f>
        <v>20</v>
      </c>
      <c r="F71" s="119">
        <f t="shared" si="1"/>
        <v>400</v>
      </c>
      <c r="G71" s="81"/>
      <c r="H71" s="82"/>
      <c r="J71" s="77"/>
      <c r="K71" s="120" t="s">
        <v>15</v>
      </c>
      <c r="L71" s="121">
        <f>Countif(N1:N46,"Prodígio")</f>
        <v>2</v>
      </c>
      <c r="M71" s="119">
        <f t="shared" ref="M71:M72" si="6">((75/3)*L71)</f>
        <v>50</v>
      </c>
      <c r="N71" s="81"/>
      <c r="O71" s="82"/>
      <c r="Q71" s="83" t="s">
        <v>15</v>
      </c>
      <c r="R71" s="76">
        <f t="shared" si="2"/>
        <v>450</v>
      </c>
    </row>
    <row r="72" ht="22.5" customHeight="1">
      <c r="C72" s="77"/>
      <c r="D72" s="120" t="s">
        <v>50</v>
      </c>
      <c r="E72" s="121">
        <f>Countif(G1:G48,"Poço")</f>
        <v>2</v>
      </c>
      <c r="F72" s="119">
        <f t="shared" si="1"/>
        <v>40</v>
      </c>
      <c r="G72" s="81"/>
      <c r="H72" s="82"/>
      <c r="J72" s="77"/>
      <c r="K72" s="120" t="s">
        <v>50</v>
      </c>
      <c r="L72" s="121">
        <f>Countif(N1:N46,"Poço")</f>
        <v>0</v>
      </c>
      <c r="M72" s="119">
        <f t="shared" si="6"/>
        <v>0</v>
      </c>
      <c r="N72" s="81"/>
      <c r="O72" s="82"/>
      <c r="Q72" s="83" t="s">
        <v>50</v>
      </c>
      <c r="R72" s="76">
        <f t="shared" si="2"/>
        <v>40</v>
      </c>
    </row>
    <row r="73" ht="22.5" customHeight="1">
      <c r="C73" s="77"/>
      <c r="D73" s="326" t="s">
        <v>24</v>
      </c>
      <c r="E73" s="327">
        <f>Countif(G2:G49,"Pedro")</f>
        <v>0</v>
      </c>
      <c r="F73" s="328">
        <f t="shared" si="1"/>
        <v>0</v>
      </c>
      <c r="G73" s="81"/>
      <c r="H73" s="82"/>
      <c r="J73" s="77"/>
      <c r="K73" s="326" t="s">
        <v>24</v>
      </c>
      <c r="L73" s="327">
        <f>Countif(N2:N46,"Pedro")</f>
        <v>0</v>
      </c>
      <c r="M73" s="328">
        <f t="shared" ref="M73:M74" si="7">((60/3)*L73)</f>
        <v>0</v>
      </c>
      <c r="N73" s="81"/>
      <c r="O73" s="82"/>
      <c r="Q73" s="97" t="s">
        <v>24</v>
      </c>
      <c r="R73" s="76">
        <f t="shared" si="2"/>
        <v>0</v>
      </c>
    </row>
    <row r="74" ht="22.5" customHeight="1">
      <c r="C74" s="91"/>
      <c r="D74" s="332" t="s">
        <v>223</v>
      </c>
      <c r="E74" s="333">
        <f>Countif(G3:G50,"Canholas")</f>
        <v>0</v>
      </c>
      <c r="F74" s="334">
        <f t="shared" si="1"/>
        <v>0</v>
      </c>
      <c r="G74" s="130"/>
      <c r="H74" s="127"/>
      <c r="J74" s="91"/>
      <c r="K74" s="332" t="s">
        <v>223</v>
      </c>
      <c r="L74" s="333">
        <f>Countif(N3:N47,"Canholas")</f>
        <v>0</v>
      </c>
      <c r="M74" s="334">
        <f t="shared" si="7"/>
        <v>0</v>
      </c>
      <c r="N74" s="130"/>
      <c r="O74" s="127"/>
      <c r="Q74" s="131" t="s">
        <v>223</v>
      </c>
      <c r="R74" s="76">
        <f t="shared" si="2"/>
        <v>0</v>
      </c>
    </row>
    <row r="75">
      <c r="H75" s="132">
        <f>SUM(H55:H72)</f>
        <v>2700</v>
      </c>
      <c r="O75" s="132">
        <f>SUM(O55:O72)</f>
        <v>465</v>
      </c>
      <c r="Q75" s="133"/>
      <c r="R75" s="134">
        <f>SUM(H75+O75)</f>
        <v>3165</v>
      </c>
    </row>
    <row r="76">
      <c r="H76" s="135"/>
      <c r="O76" s="135"/>
      <c r="Q76" s="133"/>
      <c r="R76" s="135"/>
    </row>
    <row r="79" ht="22.5" customHeight="1">
      <c r="D79" s="136" t="s">
        <v>36</v>
      </c>
      <c r="E79" s="136" t="s">
        <v>37</v>
      </c>
      <c r="F79" s="136" t="s">
        <v>38</v>
      </c>
      <c r="G79" s="137" t="s">
        <v>40</v>
      </c>
      <c r="J79" s="138" t="s">
        <v>6</v>
      </c>
      <c r="K79" s="100" t="s">
        <v>51</v>
      </c>
      <c r="Q79" s="139" t="s">
        <v>52</v>
      </c>
    </row>
    <row r="80" ht="22.5" customHeight="1">
      <c r="C80" s="140" t="s">
        <v>53</v>
      </c>
      <c r="D80" s="141" t="s">
        <v>54</v>
      </c>
      <c r="E80" s="142">
        <f>COUNTIF(E22:E48,"Medicina")</f>
        <v>0</v>
      </c>
      <c r="F80" s="143">
        <f t="shared" ref="F80:F82" si="8">((60/3)*E80)</f>
        <v>0</v>
      </c>
      <c r="G80" s="144">
        <f>SUM(F80:F82)</f>
        <v>0</v>
      </c>
      <c r="J80" s="145" t="s">
        <v>55</v>
      </c>
      <c r="K80" s="146">
        <v>20.0</v>
      </c>
      <c r="P80" s="147"/>
      <c r="Q80" s="223" t="s">
        <v>56</v>
      </c>
      <c r="R80" s="224"/>
    </row>
    <row r="81" ht="22.5" customHeight="1">
      <c r="C81" s="116"/>
      <c r="D81" s="150" t="s">
        <v>57</v>
      </c>
      <c r="E81" s="88">
        <f>COUNTIF(E22:E48,"Literatus")</f>
        <v>0</v>
      </c>
      <c r="F81" s="151">
        <f t="shared" si="8"/>
        <v>0</v>
      </c>
      <c r="G81" s="152"/>
      <c r="J81" s="153" t="s">
        <v>58</v>
      </c>
      <c r="K81" s="154">
        <v>20.0</v>
      </c>
      <c r="P81" s="155"/>
      <c r="Q81" s="225" t="s">
        <v>59</v>
      </c>
      <c r="R81" s="226"/>
    </row>
    <row r="82" ht="22.5" customHeight="1">
      <c r="C82" s="124"/>
      <c r="D82" s="158" t="s">
        <v>60</v>
      </c>
      <c r="E82" s="159">
        <f>COUNTIF(E22:E48,"Enfermagem")</f>
        <v>0</v>
      </c>
      <c r="F82" s="160">
        <f t="shared" si="8"/>
        <v>0</v>
      </c>
      <c r="G82" s="161"/>
      <c r="J82" s="153" t="s">
        <v>61</v>
      </c>
      <c r="K82" s="154">
        <v>20.0</v>
      </c>
      <c r="P82" s="162"/>
      <c r="Q82" s="225" t="s">
        <v>62</v>
      </c>
      <c r="R82" s="226"/>
    </row>
    <row r="83" ht="22.5" customHeight="1">
      <c r="G83" s="163">
        <f>SUM(G80:G82)</f>
        <v>0</v>
      </c>
      <c r="J83" s="164" t="s">
        <v>63</v>
      </c>
      <c r="K83" s="165">
        <v>20.0</v>
      </c>
      <c r="P83" s="166"/>
      <c r="Q83" s="223" t="s">
        <v>64</v>
      </c>
      <c r="R83" s="224"/>
    </row>
    <row r="84">
      <c r="G84" s="161"/>
      <c r="P84" s="167" t="s">
        <v>65</v>
      </c>
      <c r="Q84" s="225" t="s">
        <v>66</v>
      </c>
      <c r="R84" s="226"/>
    </row>
    <row r="85">
      <c r="P85" s="168" t="s">
        <v>65</v>
      </c>
      <c r="Q85" s="225" t="s">
        <v>202</v>
      </c>
      <c r="R85" s="226"/>
    </row>
    <row r="86">
      <c r="P86" s="169" t="s">
        <v>28</v>
      </c>
      <c r="Q86" s="225" t="s">
        <v>203</v>
      </c>
      <c r="R86" s="226"/>
    </row>
    <row r="87">
      <c r="P87" s="170"/>
      <c r="Q87" s="225" t="s">
        <v>69</v>
      </c>
      <c r="R87" s="226"/>
    </row>
    <row r="88">
      <c r="P88" s="171" t="s">
        <v>65</v>
      </c>
      <c r="Q88" s="225" t="s">
        <v>68</v>
      </c>
      <c r="R88" s="226"/>
    </row>
    <row r="89">
      <c r="P89" s="172">
        <v>46.0</v>
      </c>
      <c r="Q89" s="225" t="s">
        <v>71</v>
      </c>
      <c r="R89" s="226"/>
    </row>
  </sheetData>
  <mergeCells count="99">
    <mergeCell ref="B7:B8"/>
    <mergeCell ref="C7:C8"/>
    <mergeCell ref="B9:B10"/>
    <mergeCell ref="C9:C10"/>
    <mergeCell ref="B15:B16"/>
    <mergeCell ref="C15:C16"/>
    <mergeCell ref="C17:C18"/>
    <mergeCell ref="C19:C20"/>
    <mergeCell ref="B17:B18"/>
    <mergeCell ref="B19:B20"/>
    <mergeCell ref="B25:B26"/>
    <mergeCell ref="C25:C26"/>
    <mergeCell ref="B27:B28"/>
    <mergeCell ref="C27:C28"/>
    <mergeCell ref="C29:C30"/>
    <mergeCell ref="C47:C48"/>
    <mergeCell ref="C55:C62"/>
    <mergeCell ref="C63:C69"/>
    <mergeCell ref="C70:C74"/>
    <mergeCell ref="C80:C82"/>
    <mergeCell ref="B37:B38"/>
    <mergeCell ref="C37:C38"/>
    <mergeCell ref="B39:B40"/>
    <mergeCell ref="C39:C40"/>
    <mergeCell ref="B45:B46"/>
    <mergeCell ref="C45:C46"/>
    <mergeCell ref="B47:B48"/>
    <mergeCell ref="J37:J38"/>
    <mergeCell ref="K37:K38"/>
    <mergeCell ref="I29:I30"/>
    <mergeCell ref="J29:J30"/>
    <mergeCell ref="K29:K30"/>
    <mergeCell ref="I35:I36"/>
    <mergeCell ref="J35:J36"/>
    <mergeCell ref="K35:K36"/>
    <mergeCell ref="I37:I38"/>
    <mergeCell ref="J47:J48"/>
    <mergeCell ref="J55:J62"/>
    <mergeCell ref="J63:J69"/>
    <mergeCell ref="J70:J74"/>
    <mergeCell ref="G63:G69"/>
    <mergeCell ref="H63:H69"/>
    <mergeCell ref="G70:G74"/>
    <mergeCell ref="H70:H74"/>
    <mergeCell ref="H75:H76"/>
    <mergeCell ref="G80:G82"/>
    <mergeCell ref="G83:G84"/>
    <mergeCell ref="I45:I46"/>
    <mergeCell ref="J45:J46"/>
    <mergeCell ref="K45:K46"/>
    <mergeCell ref="I47:I48"/>
    <mergeCell ref="K47:K48"/>
    <mergeCell ref="G55:G62"/>
    <mergeCell ref="H55:H62"/>
    <mergeCell ref="R75:R76"/>
    <mergeCell ref="Q79:R79"/>
    <mergeCell ref="N55:N62"/>
    <mergeCell ref="O55:O62"/>
    <mergeCell ref="N63:N69"/>
    <mergeCell ref="O63:O69"/>
    <mergeCell ref="N70:N74"/>
    <mergeCell ref="O70:O74"/>
    <mergeCell ref="O75:O76"/>
    <mergeCell ref="B1:C1"/>
    <mergeCell ref="B2:G2"/>
    <mergeCell ref="J2:K2"/>
    <mergeCell ref="I3:N3"/>
    <mergeCell ref="B5:B6"/>
    <mergeCell ref="C5:C6"/>
    <mergeCell ref="I5:I6"/>
    <mergeCell ref="J5:J6"/>
    <mergeCell ref="K5:K6"/>
    <mergeCell ref="I7:I8"/>
    <mergeCell ref="J7:J8"/>
    <mergeCell ref="K7:K8"/>
    <mergeCell ref="J9:J10"/>
    <mergeCell ref="K9:K10"/>
    <mergeCell ref="I9:I10"/>
    <mergeCell ref="I15:I16"/>
    <mergeCell ref="J15:J16"/>
    <mergeCell ref="K15:K16"/>
    <mergeCell ref="I17:I18"/>
    <mergeCell ref="J17:J18"/>
    <mergeCell ref="K17:K18"/>
    <mergeCell ref="J27:J28"/>
    <mergeCell ref="K27:K28"/>
    <mergeCell ref="I19:I20"/>
    <mergeCell ref="J19:J20"/>
    <mergeCell ref="K19:K20"/>
    <mergeCell ref="I25:I26"/>
    <mergeCell ref="J25:J26"/>
    <mergeCell ref="K25:K26"/>
    <mergeCell ref="I27:I28"/>
    <mergeCell ref="B29:B30"/>
    <mergeCell ref="B35:B36"/>
    <mergeCell ref="C35:C36"/>
    <mergeCell ref="I39:I40"/>
    <mergeCell ref="J39:J40"/>
    <mergeCell ref="K39:K40"/>
  </mergeCells>
  <conditionalFormatting sqref="C79">
    <cfRule type="notContainsBlanks" dxfId="7" priority="1">
      <formula>LEN(TRIM(C79))&gt;0</formula>
    </cfRule>
  </conditionalFormatting>
  <dataValidations>
    <dataValidation type="list" allowBlank="1" showErrorMessage="1" sqref="E4:E48">
      <formula1>"Tuna,Pipo,Mira,Pablo,Gustavo,Tavares,Tomás,Nico,Sobral,Medicina,Literatus,Enfermagem,-"</formula1>
    </dataValidation>
    <dataValidation type="list" allowBlank="1" showErrorMessage="1" sqref="L4:L7 L9 L15:L19 L25:L30 L35:L39 L45:L48">
      <formula1>"Tuna,Gustavo,Mira,Pablo,Tavares,Pipo,Sobral,Nico,Medicina,Literatus,Enfermagem,-"</formula1>
    </dataValidation>
    <dataValidation type="list" allowBlank="1" showErrorMessage="1" sqref="G41">
      <formula1>"Apostas,Prodígio,Poço,Pedro,-"</formula1>
    </dataValidation>
    <dataValidation type="list" allowBlank="1" showErrorMessage="1" sqref="N9 N15 N17 G16:G19 N19 N25 N29 G22:G40 G44 N45 G47:G48">
      <formula1>"Apostas,Prodígio,Poço,-"</formula1>
    </dataValidation>
    <dataValidation type="list" allowBlank="1" showErrorMessage="1" sqref="P84">
      <formula1>"Nome"</formula1>
    </dataValidation>
    <dataValidation type="list" allowBlank="1" showErrorMessage="1" sqref="K7 K17 K27 K37 K47">
      <formula1>"17h30,19h00,18h30"</formula1>
    </dataValidation>
    <dataValidation type="list" allowBlank="1" showErrorMessage="1" sqref="P86">
      <formula1>"-"</formula1>
    </dataValidation>
    <dataValidation type="list" allowBlank="1" showErrorMessage="1" sqref="P85">
      <formula1>"Nome"</formula1>
    </dataValidation>
    <dataValidation type="list" allowBlank="1" showErrorMessage="1" sqref="D4:D48">
      <formula1>"19h00,18h00,19h30,21h00,21h30,16h00"</formula1>
    </dataValidation>
    <dataValidation type="list" allowBlank="1" showErrorMessage="1" sqref="F4:F48">
      <formula1>"Gift,Monte,Sorte,Afonso,Geni,Rufus,JP,-"</formula1>
    </dataValidation>
    <dataValidation type="list" allowBlank="1" showErrorMessage="1" sqref="P87">
      <formula1>" -"</formula1>
    </dataValidation>
    <dataValidation type="list" allowBlank="1" showErrorMessage="1" sqref="M5 M7 M9 M15 M17 M19 M25 M27 M29 M35 M37 M39 M45 M47">
      <formula1>"Gift,Monte,Sorte,Afonso,Geni,JP,-"</formula1>
    </dataValidation>
    <dataValidation type="custom" allowBlank="1" showDropDown="1" sqref="M55:M74 F55:F74 F80:F82 K80:K83">
      <formula1>AND(ISNUMBER(F55),(NOT(OR(NOT(ISERROR(DATEVALUE(F55))), AND(ISNUMBER(F55), LEFT(CELL("format", F55))="D")))))</formula1>
    </dataValidation>
    <dataValidation type="list" allowBlank="1" showErrorMessage="1" sqref="N5 N7 G4:G15 G20:G21 N27 N35 N37 N39 G42:G43 G45:G46 N47">
      <formula1>"Apostas,Prodígio,Poço,Pedro,Canholas,-"</formula1>
    </dataValidation>
    <dataValidation type="list" allowBlank="1" showErrorMessage="1" sqref="K4:K5 K9 K15 K19 K25 K29 K35 K39 K45">
      <formula1>"17h00,19h00,18h30"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25"/>
    <col customWidth="1" min="13" max="13" width="13.0"/>
    <col customWidth="1" min="14" max="14" width="14.13"/>
  </cols>
  <sheetData>
    <row r="1">
      <c r="A1" s="1"/>
      <c r="B1" s="2" t="s">
        <v>1</v>
      </c>
    </row>
    <row r="2">
      <c r="A2" s="3"/>
      <c r="B2" s="4" t="s">
        <v>224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218</v>
      </c>
      <c r="J3" s="12"/>
      <c r="K3" s="12"/>
      <c r="L3" s="12"/>
      <c r="M3" s="12"/>
      <c r="N3" s="13"/>
    </row>
    <row r="4">
      <c r="A4" s="14"/>
      <c r="B4" s="191" t="s">
        <v>11</v>
      </c>
      <c r="C4" s="192">
        <v>1.0</v>
      </c>
      <c r="D4" s="17" t="s">
        <v>27</v>
      </c>
      <c r="E4" s="18" t="s">
        <v>13</v>
      </c>
      <c r="F4" s="19" t="s">
        <v>26</v>
      </c>
      <c r="G4" s="19" t="s">
        <v>19</v>
      </c>
      <c r="I4" s="324"/>
      <c r="J4" s="324"/>
      <c r="K4" s="324"/>
      <c r="L4" s="324"/>
      <c r="M4" s="324"/>
      <c r="N4" s="324"/>
    </row>
    <row r="5">
      <c r="A5" s="14"/>
      <c r="B5" s="191" t="s">
        <v>17</v>
      </c>
      <c r="C5" s="192">
        <v>2.0</v>
      </c>
      <c r="D5" s="17" t="s">
        <v>27</v>
      </c>
      <c r="E5" s="18" t="s">
        <v>13</v>
      </c>
      <c r="F5" s="18" t="s">
        <v>14</v>
      </c>
      <c r="G5" s="19" t="s">
        <v>19</v>
      </c>
      <c r="J5" s="335"/>
      <c r="K5" s="335"/>
      <c r="L5" s="335"/>
      <c r="M5" s="335"/>
      <c r="N5" s="335"/>
      <c r="P5" s="1" t="s">
        <v>219</v>
      </c>
    </row>
    <row r="6">
      <c r="A6" s="14"/>
      <c r="B6" s="191" t="s">
        <v>21</v>
      </c>
      <c r="C6" s="192">
        <v>3.0</v>
      </c>
      <c r="D6" s="17" t="s">
        <v>27</v>
      </c>
      <c r="E6" s="18" t="s">
        <v>13</v>
      </c>
      <c r="F6" s="18" t="s">
        <v>26</v>
      </c>
      <c r="G6" s="19" t="s">
        <v>19</v>
      </c>
      <c r="I6" s="336"/>
      <c r="J6" s="50"/>
      <c r="K6" s="317"/>
      <c r="L6" s="189"/>
      <c r="M6" s="189"/>
      <c r="N6" s="42"/>
      <c r="P6" s="1" t="s">
        <v>220</v>
      </c>
    </row>
    <row r="7">
      <c r="A7" s="14"/>
      <c r="B7" s="191" t="s">
        <v>23</v>
      </c>
      <c r="C7" s="192">
        <v>4.0</v>
      </c>
      <c r="D7" s="17" t="s">
        <v>27</v>
      </c>
      <c r="E7" s="18" t="s">
        <v>13</v>
      </c>
      <c r="F7" s="18" t="s">
        <v>14</v>
      </c>
      <c r="G7" s="19" t="s">
        <v>19</v>
      </c>
      <c r="I7" s="52"/>
      <c r="J7" s="53"/>
      <c r="K7" s="321"/>
      <c r="L7" s="189"/>
      <c r="M7" s="189"/>
      <c r="N7" s="42"/>
      <c r="P7" s="1" t="s">
        <v>221</v>
      </c>
    </row>
    <row r="8">
      <c r="A8" s="14"/>
      <c r="B8" s="25" t="s">
        <v>25</v>
      </c>
      <c r="C8" s="26">
        <v>5.0</v>
      </c>
      <c r="D8" s="17" t="s">
        <v>12</v>
      </c>
      <c r="E8" s="18" t="s">
        <v>13</v>
      </c>
      <c r="F8" s="18" t="s">
        <v>18</v>
      </c>
      <c r="G8" s="18" t="s">
        <v>19</v>
      </c>
      <c r="I8" s="27" t="s">
        <v>25</v>
      </c>
      <c r="J8" s="46">
        <v>5.0</v>
      </c>
      <c r="K8" s="44"/>
      <c r="L8" s="30" t="s">
        <v>28</v>
      </c>
      <c r="M8" s="30" t="s">
        <v>28</v>
      </c>
      <c r="N8" s="31" t="s">
        <v>28</v>
      </c>
    </row>
    <row r="9">
      <c r="A9" s="14"/>
      <c r="B9" s="23"/>
      <c r="C9" s="23"/>
      <c r="D9" s="17" t="s">
        <v>16</v>
      </c>
      <c r="E9" s="18" t="s">
        <v>13</v>
      </c>
      <c r="F9" s="18" t="s">
        <v>18</v>
      </c>
      <c r="G9" s="18" t="s">
        <v>19</v>
      </c>
      <c r="I9" s="32"/>
      <c r="J9" s="45"/>
      <c r="K9" s="45"/>
      <c r="L9" s="30" t="s">
        <v>28</v>
      </c>
      <c r="M9" s="35"/>
      <c r="N9" s="299"/>
    </row>
    <row r="10">
      <c r="A10" s="14"/>
      <c r="B10" s="25" t="s">
        <v>29</v>
      </c>
      <c r="C10" s="26">
        <v>6.0</v>
      </c>
      <c r="D10" s="17" t="s">
        <v>12</v>
      </c>
      <c r="E10" s="18" t="s">
        <v>13</v>
      </c>
      <c r="F10" s="18" t="s">
        <v>34</v>
      </c>
      <c r="G10" s="19" t="s">
        <v>19</v>
      </c>
      <c r="I10" s="27" t="s">
        <v>29</v>
      </c>
      <c r="J10" s="43">
        <v>6.0</v>
      </c>
      <c r="K10" s="44"/>
      <c r="L10" s="30" t="s">
        <v>28</v>
      </c>
      <c r="M10" s="30" t="s">
        <v>28</v>
      </c>
      <c r="N10" s="31" t="s">
        <v>28</v>
      </c>
    </row>
    <row r="11">
      <c r="A11" s="14"/>
      <c r="B11" s="23"/>
      <c r="C11" s="23"/>
      <c r="D11" s="17" t="s">
        <v>16</v>
      </c>
      <c r="E11" s="18" t="s">
        <v>13</v>
      </c>
      <c r="F11" s="18" t="s">
        <v>34</v>
      </c>
      <c r="G11" s="19" t="s">
        <v>19</v>
      </c>
      <c r="I11" s="32"/>
      <c r="J11" s="34"/>
      <c r="K11" s="45"/>
      <c r="L11" s="30" t="s">
        <v>28</v>
      </c>
      <c r="M11" s="35"/>
      <c r="N11" s="299"/>
    </row>
    <row r="12">
      <c r="A12" s="14"/>
      <c r="B12" s="25" t="s">
        <v>31</v>
      </c>
      <c r="C12" s="26">
        <v>7.0</v>
      </c>
      <c r="D12" s="17" t="s">
        <v>12</v>
      </c>
      <c r="E12" s="19" t="s">
        <v>22</v>
      </c>
      <c r="F12" s="18" t="s">
        <v>35</v>
      </c>
      <c r="G12" s="18" t="s">
        <v>50</v>
      </c>
      <c r="I12" s="218" t="s">
        <v>31</v>
      </c>
      <c r="J12" s="43">
        <v>7.0</v>
      </c>
      <c r="K12" s="44" t="s">
        <v>200</v>
      </c>
      <c r="L12" s="30" t="s">
        <v>30</v>
      </c>
      <c r="M12" s="47" t="s">
        <v>34</v>
      </c>
      <c r="N12" s="48" t="s">
        <v>19</v>
      </c>
    </row>
    <row r="13">
      <c r="A13" s="14"/>
      <c r="B13" s="23"/>
      <c r="C13" s="23"/>
      <c r="D13" s="17" t="s">
        <v>16</v>
      </c>
      <c r="E13" s="19" t="s">
        <v>22</v>
      </c>
      <c r="F13" s="18" t="s">
        <v>26</v>
      </c>
      <c r="G13" s="18" t="s">
        <v>50</v>
      </c>
      <c r="I13" s="207"/>
      <c r="J13" s="34"/>
      <c r="K13" s="45"/>
      <c r="L13" s="30"/>
      <c r="M13" s="35"/>
      <c r="N13" s="36"/>
    </row>
    <row r="14">
      <c r="A14" s="14"/>
      <c r="B14" s="191" t="s">
        <v>11</v>
      </c>
      <c r="C14" s="192">
        <v>8.0</v>
      </c>
      <c r="D14" s="17" t="s">
        <v>27</v>
      </c>
      <c r="E14" s="18" t="s">
        <v>13</v>
      </c>
      <c r="F14" s="18" t="s">
        <v>35</v>
      </c>
      <c r="G14" s="19" t="s">
        <v>19</v>
      </c>
      <c r="I14" s="49"/>
      <c r="J14" s="216"/>
      <c r="K14" s="316"/>
      <c r="L14" s="189"/>
      <c r="M14" s="35"/>
      <c r="N14" s="42"/>
    </row>
    <row r="15">
      <c r="A15" s="14"/>
      <c r="B15" s="191" t="s">
        <v>17</v>
      </c>
      <c r="C15" s="192">
        <v>9.0</v>
      </c>
      <c r="D15" s="17" t="s">
        <v>27</v>
      </c>
      <c r="E15" s="18" t="s">
        <v>13</v>
      </c>
      <c r="F15" s="18" t="s">
        <v>35</v>
      </c>
      <c r="G15" s="19" t="s">
        <v>19</v>
      </c>
      <c r="I15" s="49"/>
      <c r="J15" s="50"/>
      <c r="K15" s="317"/>
      <c r="L15" s="189"/>
      <c r="M15" s="189"/>
      <c r="N15" s="42"/>
    </row>
    <row r="16">
      <c r="A16" s="14"/>
      <c r="B16" s="191" t="s">
        <v>21</v>
      </c>
      <c r="C16" s="192">
        <v>10.0</v>
      </c>
      <c r="D16" s="17" t="s">
        <v>27</v>
      </c>
      <c r="E16" s="18" t="s">
        <v>30</v>
      </c>
      <c r="F16" s="18" t="s">
        <v>35</v>
      </c>
      <c r="G16" s="18" t="s">
        <v>15</v>
      </c>
      <c r="I16" s="49"/>
      <c r="J16" s="50"/>
      <c r="K16" s="321"/>
      <c r="L16" s="189"/>
      <c r="M16" s="189"/>
      <c r="N16" s="42"/>
    </row>
    <row r="17">
      <c r="A17" s="14"/>
      <c r="B17" s="191" t="s">
        <v>23</v>
      </c>
      <c r="C17" s="192">
        <v>11.0</v>
      </c>
      <c r="D17" s="17" t="s">
        <v>27</v>
      </c>
      <c r="E17" s="19" t="s">
        <v>44</v>
      </c>
      <c r="F17" s="18" t="s">
        <v>14</v>
      </c>
      <c r="G17" s="18" t="s">
        <v>15</v>
      </c>
      <c r="I17" s="52"/>
      <c r="J17" s="337"/>
      <c r="K17" s="189"/>
      <c r="L17" s="189"/>
      <c r="M17" s="189"/>
      <c r="N17" s="42"/>
    </row>
    <row r="18">
      <c r="A18" s="14"/>
      <c r="B18" s="25" t="s">
        <v>25</v>
      </c>
      <c r="C18" s="26">
        <v>12.0</v>
      </c>
      <c r="D18" s="17" t="s">
        <v>12</v>
      </c>
      <c r="E18" s="19" t="s">
        <v>22</v>
      </c>
      <c r="F18" s="18" t="s">
        <v>26</v>
      </c>
      <c r="G18" s="18" t="s">
        <v>15</v>
      </c>
      <c r="I18" s="27" t="s">
        <v>25</v>
      </c>
      <c r="J18" s="46">
        <v>12.0</v>
      </c>
      <c r="K18" s="318" t="s">
        <v>27</v>
      </c>
      <c r="L18" s="47" t="s">
        <v>30</v>
      </c>
      <c r="M18" s="47" t="s">
        <v>34</v>
      </c>
      <c r="N18" s="31" t="s">
        <v>19</v>
      </c>
    </row>
    <row r="19">
      <c r="A19" s="14"/>
      <c r="B19" s="23"/>
      <c r="C19" s="23"/>
      <c r="D19" s="17" t="s">
        <v>16</v>
      </c>
      <c r="E19" s="19" t="s">
        <v>22</v>
      </c>
      <c r="F19" s="18" t="s">
        <v>26</v>
      </c>
      <c r="G19" s="18" t="s">
        <v>15</v>
      </c>
      <c r="I19" s="32"/>
      <c r="J19" s="45"/>
      <c r="L19" s="30" t="s">
        <v>30</v>
      </c>
      <c r="M19" s="35"/>
      <c r="N19" s="36"/>
    </row>
    <row r="20">
      <c r="A20" s="14"/>
      <c r="B20" s="25" t="s">
        <v>29</v>
      </c>
      <c r="C20" s="26">
        <v>13.0</v>
      </c>
      <c r="D20" s="17" t="s">
        <v>12</v>
      </c>
      <c r="E20" s="19" t="s">
        <v>206</v>
      </c>
      <c r="F20" s="18" t="s">
        <v>35</v>
      </c>
      <c r="G20" s="19" t="s">
        <v>223</v>
      </c>
      <c r="I20" s="27" t="s">
        <v>29</v>
      </c>
      <c r="J20" s="43">
        <v>13.0</v>
      </c>
      <c r="K20" s="44" t="s">
        <v>27</v>
      </c>
      <c r="L20" s="47" t="s">
        <v>30</v>
      </c>
      <c r="M20" s="47" t="s">
        <v>34</v>
      </c>
      <c r="N20" s="48" t="s">
        <v>19</v>
      </c>
      <c r="O20" s="319"/>
    </row>
    <row r="21">
      <c r="A21" s="14"/>
      <c r="B21" s="23"/>
      <c r="C21" s="23"/>
      <c r="D21" s="17" t="s">
        <v>16</v>
      </c>
      <c r="E21" s="19" t="s">
        <v>206</v>
      </c>
      <c r="F21" s="18" t="s">
        <v>35</v>
      </c>
      <c r="G21" s="19" t="s">
        <v>223</v>
      </c>
      <c r="I21" s="32"/>
      <c r="J21" s="34"/>
      <c r="K21" s="45"/>
      <c r="L21" s="30" t="s">
        <v>30</v>
      </c>
      <c r="M21" s="35"/>
      <c r="N21" s="36"/>
    </row>
    <row r="22">
      <c r="A22" s="14"/>
      <c r="B22" s="25" t="s">
        <v>31</v>
      </c>
      <c r="C22" s="26">
        <v>14.0</v>
      </c>
      <c r="D22" s="17" t="s">
        <v>12</v>
      </c>
      <c r="E22" s="18" t="s">
        <v>43</v>
      </c>
      <c r="F22" s="18" t="s">
        <v>26</v>
      </c>
      <c r="G22" s="18" t="s">
        <v>15</v>
      </c>
      <c r="I22" s="27" t="s">
        <v>31</v>
      </c>
      <c r="J22" s="46">
        <v>14.0</v>
      </c>
      <c r="K22" s="44" t="s">
        <v>200</v>
      </c>
      <c r="L22" s="47" t="s">
        <v>30</v>
      </c>
      <c r="M22" s="47" t="s">
        <v>34</v>
      </c>
      <c r="N22" s="31" t="s">
        <v>19</v>
      </c>
    </row>
    <row r="23">
      <c r="A23" s="14"/>
      <c r="B23" s="23"/>
      <c r="C23" s="23"/>
      <c r="D23" s="17" t="s">
        <v>16</v>
      </c>
      <c r="E23" s="18" t="s">
        <v>43</v>
      </c>
      <c r="F23" s="18" t="s">
        <v>26</v>
      </c>
      <c r="G23" s="18" t="s">
        <v>15</v>
      </c>
      <c r="I23" s="32"/>
      <c r="J23" s="45"/>
      <c r="K23" s="45"/>
      <c r="L23" s="30"/>
      <c r="M23" s="35"/>
      <c r="N23" s="36"/>
    </row>
    <row r="24">
      <c r="A24" s="14"/>
      <c r="B24" s="191" t="s">
        <v>11</v>
      </c>
      <c r="C24" s="192">
        <v>15.0</v>
      </c>
      <c r="D24" s="17" t="s">
        <v>27</v>
      </c>
      <c r="E24" s="18" t="s">
        <v>30</v>
      </c>
      <c r="F24" s="19" t="s">
        <v>14</v>
      </c>
      <c r="G24" s="18" t="s">
        <v>15</v>
      </c>
      <c r="I24" s="20"/>
      <c r="J24" s="21"/>
      <c r="K24" s="189"/>
      <c r="L24" s="189"/>
      <c r="M24" s="35"/>
      <c r="N24" s="42"/>
    </row>
    <row r="25">
      <c r="A25" s="14"/>
      <c r="B25" s="191" t="s">
        <v>17</v>
      </c>
      <c r="C25" s="192">
        <v>16.0</v>
      </c>
      <c r="D25" s="17" t="s">
        <v>27</v>
      </c>
      <c r="E25" s="18" t="s">
        <v>30</v>
      </c>
      <c r="F25" s="18" t="s">
        <v>35</v>
      </c>
      <c r="G25" s="18" t="s">
        <v>15</v>
      </c>
      <c r="I25" s="20"/>
      <c r="J25" s="21"/>
      <c r="K25" s="189"/>
      <c r="L25" s="189"/>
      <c r="M25" s="189"/>
      <c r="N25" s="190"/>
    </row>
    <row r="26">
      <c r="A26" s="14"/>
      <c r="B26" s="191" t="s">
        <v>21</v>
      </c>
      <c r="C26" s="192">
        <v>17.0</v>
      </c>
      <c r="D26" s="17" t="s">
        <v>27</v>
      </c>
      <c r="E26" s="19" t="s">
        <v>30</v>
      </c>
      <c r="F26" s="19" t="s">
        <v>26</v>
      </c>
      <c r="G26" s="18" t="s">
        <v>15</v>
      </c>
      <c r="I26" s="20"/>
      <c r="J26" s="21"/>
      <c r="K26" s="189"/>
      <c r="L26" s="189"/>
      <c r="M26" s="189"/>
      <c r="N26" s="190"/>
    </row>
    <row r="27">
      <c r="A27" s="14"/>
      <c r="B27" s="191" t="s">
        <v>23</v>
      </c>
      <c r="C27" s="192">
        <v>18.0</v>
      </c>
      <c r="D27" s="17" t="s">
        <v>27</v>
      </c>
      <c r="E27" s="18" t="s">
        <v>44</v>
      </c>
      <c r="F27" s="18" t="s">
        <v>14</v>
      </c>
      <c r="G27" s="18" t="s">
        <v>15</v>
      </c>
      <c r="I27" s="20"/>
      <c r="J27" s="21"/>
      <c r="K27" s="189"/>
      <c r="L27" s="189"/>
      <c r="M27" s="189"/>
      <c r="N27" s="190"/>
    </row>
    <row r="28">
      <c r="A28" s="14"/>
      <c r="B28" s="25" t="s">
        <v>25</v>
      </c>
      <c r="C28" s="26">
        <v>19.0</v>
      </c>
      <c r="D28" s="17" t="s">
        <v>12</v>
      </c>
      <c r="E28" s="18" t="s">
        <v>22</v>
      </c>
      <c r="F28" s="18" t="s">
        <v>222</v>
      </c>
      <c r="G28" s="18" t="s">
        <v>19</v>
      </c>
      <c r="I28" s="27" t="s">
        <v>25</v>
      </c>
      <c r="J28" s="46">
        <v>19.0</v>
      </c>
      <c r="K28" s="318" t="s">
        <v>27</v>
      </c>
      <c r="L28" s="30" t="s">
        <v>28</v>
      </c>
      <c r="M28" s="30" t="s">
        <v>28</v>
      </c>
      <c r="N28" s="31" t="s">
        <v>28</v>
      </c>
    </row>
    <row r="29">
      <c r="A29" s="14"/>
      <c r="B29" s="23"/>
      <c r="C29" s="23"/>
      <c r="D29" s="17" t="s">
        <v>16</v>
      </c>
      <c r="E29" s="18" t="s">
        <v>22</v>
      </c>
      <c r="F29" s="18" t="s">
        <v>222</v>
      </c>
      <c r="G29" s="18" t="s">
        <v>19</v>
      </c>
      <c r="I29" s="32"/>
      <c r="J29" s="45"/>
      <c r="L29" s="30" t="s">
        <v>28</v>
      </c>
      <c r="M29" s="35"/>
      <c r="N29" s="36"/>
    </row>
    <row r="30">
      <c r="A30" s="14"/>
      <c r="B30" s="25" t="s">
        <v>29</v>
      </c>
      <c r="C30" s="26">
        <v>20.0</v>
      </c>
      <c r="D30" s="17" t="s">
        <v>12</v>
      </c>
      <c r="E30" s="19" t="s">
        <v>30</v>
      </c>
      <c r="F30" s="18" t="s">
        <v>34</v>
      </c>
      <c r="G30" s="18" t="s">
        <v>15</v>
      </c>
      <c r="I30" s="27" t="s">
        <v>29</v>
      </c>
      <c r="J30" s="43">
        <v>20.0</v>
      </c>
      <c r="K30" s="44" t="s">
        <v>27</v>
      </c>
      <c r="L30" s="30" t="s">
        <v>28</v>
      </c>
      <c r="M30" s="30" t="s">
        <v>28</v>
      </c>
      <c r="N30" s="31" t="s">
        <v>28</v>
      </c>
    </row>
    <row r="31">
      <c r="A31" s="14"/>
      <c r="B31" s="23"/>
      <c r="C31" s="23"/>
      <c r="D31" s="17" t="s">
        <v>16</v>
      </c>
      <c r="E31" s="19" t="s">
        <v>30</v>
      </c>
      <c r="F31" s="18" t="s">
        <v>34</v>
      </c>
      <c r="G31" s="18" t="s">
        <v>15</v>
      </c>
      <c r="I31" s="32"/>
      <c r="J31" s="34"/>
      <c r="K31" s="45"/>
      <c r="L31" s="30" t="s">
        <v>28</v>
      </c>
      <c r="M31" s="35"/>
      <c r="N31" s="299"/>
    </row>
    <row r="32">
      <c r="A32" s="14"/>
      <c r="B32" s="25" t="s">
        <v>31</v>
      </c>
      <c r="C32" s="26">
        <v>21.0</v>
      </c>
      <c r="D32" s="17" t="s">
        <v>12</v>
      </c>
      <c r="E32" s="18" t="s">
        <v>33</v>
      </c>
      <c r="F32" s="18" t="s">
        <v>35</v>
      </c>
      <c r="G32" s="18" t="s">
        <v>15</v>
      </c>
      <c r="I32" s="27" t="s">
        <v>31</v>
      </c>
      <c r="J32" s="46">
        <v>21.0</v>
      </c>
      <c r="K32" s="44" t="s">
        <v>200</v>
      </c>
      <c r="L32" s="30" t="s">
        <v>30</v>
      </c>
      <c r="M32" s="30" t="s">
        <v>34</v>
      </c>
      <c r="N32" s="48" t="s">
        <v>19</v>
      </c>
    </row>
    <row r="33">
      <c r="A33" s="14"/>
      <c r="B33" s="23"/>
      <c r="C33" s="23"/>
      <c r="D33" s="17" t="s">
        <v>16</v>
      </c>
      <c r="E33" s="18" t="s">
        <v>33</v>
      </c>
      <c r="F33" s="18" t="s">
        <v>35</v>
      </c>
      <c r="G33" s="18" t="s">
        <v>15</v>
      </c>
      <c r="I33" s="32"/>
      <c r="J33" s="45"/>
      <c r="K33" s="45"/>
      <c r="L33" s="30"/>
      <c r="M33" s="35"/>
      <c r="N33" s="36"/>
    </row>
    <row r="34">
      <c r="A34" s="14"/>
      <c r="B34" s="191" t="s">
        <v>11</v>
      </c>
      <c r="C34" s="192">
        <v>22.0</v>
      </c>
      <c r="D34" s="17" t="s">
        <v>27</v>
      </c>
      <c r="E34" s="19" t="s">
        <v>30</v>
      </c>
      <c r="F34" s="18" t="s">
        <v>14</v>
      </c>
      <c r="G34" s="18" t="s">
        <v>15</v>
      </c>
      <c r="I34" s="20"/>
      <c r="J34" s="21"/>
      <c r="K34" s="189"/>
      <c r="L34" s="189"/>
      <c r="M34" s="35"/>
      <c r="N34" s="42"/>
    </row>
    <row r="35">
      <c r="A35" s="14"/>
      <c r="B35" s="191" t="s">
        <v>17</v>
      </c>
      <c r="C35" s="192">
        <v>23.0</v>
      </c>
      <c r="D35" s="17" t="s">
        <v>27</v>
      </c>
      <c r="E35" s="18" t="s">
        <v>30</v>
      </c>
      <c r="F35" s="18" t="s">
        <v>26</v>
      </c>
      <c r="G35" s="18" t="s">
        <v>15</v>
      </c>
      <c r="I35" s="20"/>
      <c r="J35" s="21"/>
      <c r="K35" s="189"/>
      <c r="L35" s="189"/>
      <c r="M35" s="189"/>
      <c r="N35" s="190"/>
    </row>
    <row r="36">
      <c r="A36" s="14"/>
      <c r="B36" s="338" t="s">
        <v>21</v>
      </c>
      <c r="C36" s="339">
        <v>24.0</v>
      </c>
      <c r="D36" s="17" t="s">
        <v>27</v>
      </c>
      <c r="E36" s="18" t="s">
        <v>28</v>
      </c>
      <c r="F36" s="18" t="s">
        <v>28</v>
      </c>
      <c r="G36" s="18" t="s">
        <v>28</v>
      </c>
      <c r="I36" s="49"/>
      <c r="J36" s="50"/>
      <c r="K36" s="317"/>
      <c r="L36" s="189"/>
      <c r="M36" s="189"/>
      <c r="N36" s="42"/>
    </row>
    <row r="37">
      <c r="A37" s="14"/>
      <c r="B37" s="338" t="s">
        <v>23</v>
      </c>
      <c r="C37" s="339">
        <v>25.0</v>
      </c>
      <c r="D37" s="17" t="s">
        <v>27</v>
      </c>
      <c r="E37" s="340" t="s">
        <v>44</v>
      </c>
      <c r="F37" s="340" t="s">
        <v>26</v>
      </c>
      <c r="G37" s="340" t="s">
        <v>15</v>
      </c>
      <c r="I37" s="52"/>
      <c r="J37" s="53"/>
      <c r="K37" s="189"/>
      <c r="L37" s="189"/>
      <c r="M37" s="189"/>
      <c r="N37" s="42"/>
    </row>
    <row r="38">
      <c r="A38" s="14"/>
      <c r="B38" s="25" t="s">
        <v>25</v>
      </c>
      <c r="C38" s="26">
        <v>26.0</v>
      </c>
      <c r="D38" s="17" t="s">
        <v>12</v>
      </c>
      <c r="E38" s="19" t="s">
        <v>13</v>
      </c>
      <c r="F38" s="19" t="s">
        <v>26</v>
      </c>
      <c r="G38" s="18" t="s">
        <v>19</v>
      </c>
      <c r="I38" s="27" t="s">
        <v>25</v>
      </c>
      <c r="J38" s="46">
        <v>26.0</v>
      </c>
      <c r="K38" s="318" t="s">
        <v>27</v>
      </c>
      <c r="L38" s="30" t="s">
        <v>28</v>
      </c>
      <c r="M38" s="30" t="s">
        <v>28</v>
      </c>
      <c r="N38" s="31" t="s">
        <v>28</v>
      </c>
    </row>
    <row r="39">
      <c r="A39" s="14"/>
      <c r="B39" s="23"/>
      <c r="C39" s="23"/>
      <c r="D39" s="17" t="s">
        <v>16</v>
      </c>
      <c r="E39" s="19" t="s">
        <v>13</v>
      </c>
      <c r="F39" s="19" t="s">
        <v>26</v>
      </c>
      <c r="G39" s="18" t="s">
        <v>19</v>
      </c>
      <c r="I39" s="32"/>
      <c r="J39" s="45"/>
      <c r="L39" s="30" t="s">
        <v>28</v>
      </c>
      <c r="M39" s="35"/>
      <c r="N39" s="36"/>
    </row>
    <row r="40">
      <c r="A40" s="14"/>
      <c r="B40" s="25" t="s">
        <v>29</v>
      </c>
      <c r="C40" s="26">
        <v>27.0</v>
      </c>
      <c r="D40" s="17" t="s">
        <v>12</v>
      </c>
      <c r="E40" s="18" t="s">
        <v>30</v>
      </c>
      <c r="F40" s="19" t="s">
        <v>34</v>
      </c>
      <c r="G40" s="18" t="s">
        <v>15</v>
      </c>
      <c r="I40" s="27" t="s">
        <v>29</v>
      </c>
      <c r="J40" s="43">
        <v>27.0</v>
      </c>
      <c r="K40" s="44" t="s">
        <v>27</v>
      </c>
      <c r="L40" s="30" t="s">
        <v>206</v>
      </c>
      <c r="M40" s="47" t="s">
        <v>35</v>
      </c>
      <c r="N40" s="31" t="s">
        <v>19</v>
      </c>
    </row>
    <row r="41">
      <c r="A41" s="14"/>
      <c r="B41" s="23"/>
      <c r="C41" s="23"/>
      <c r="D41" s="17" t="s">
        <v>16</v>
      </c>
      <c r="E41" s="18" t="s">
        <v>30</v>
      </c>
      <c r="F41" s="19" t="s">
        <v>34</v>
      </c>
      <c r="G41" s="18" t="s">
        <v>15</v>
      </c>
      <c r="I41" s="32"/>
      <c r="J41" s="34"/>
      <c r="K41" s="45"/>
      <c r="L41" s="30" t="s">
        <v>44</v>
      </c>
      <c r="M41" s="35"/>
      <c r="N41" s="299"/>
    </row>
    <row r="42">
      <c r="A42" s="14"/>
      <c r="B42" s="25" t="s">
        <v>31</v>
      </c>
      <c r="C42" s="341">
        <v>28.0</v>
      </c>
      <c r="D42" s="17" t="s">
        <v>12</v>
      </c>
      <c r="E42" s="18" t="s">
        <v>44</v>
      </c>
      <c r="F42" s="18" t="s">
        <v>35</v>
      </c>
      <c r="G42" s="18" t="s">
        <v>19</v>
      </c>
      <c r="I42" s="27" t="s">
        <v>31</v>
      </c>
      <c r="J42" s="46">
        <v>28.0</v>
      </c>
      <c r="K42" s="44" t="s">
        <v>200</v>
      </c>
      <c r="L42" s="47" t="s">
        <v>30</v>
      </c>
      <c r="M42" s="47" t="s">
        <v>34</v>
      </c>
      <c r="N42" s="31" t="s">
        <v>50</v>
      </c>
    </row>
    <row r="43">
      <c r="A43" s="14"/>
      <c r="B43" s="23"/>
      <c r="C43" s="23"/>
      <c r="D43" s="17" t="s">
        <v>16</v>
      </c>
      <c r="E43" s="18" t="s">
        <v>44</v>
      </c>
      <c r="F43" s="18" t="s">
        <v>35</v>
      </c>
      <c r="G43" s="18" t="s">
        <v>19</v>
      </c>
      <c r="I43" s="32"/>
      <c r="J43" s="45"/>
      <c r="K43" s="45"/>
      <c r="L43" s="35"/>
      <c r="M43" s="35"/>
      <c r="N43" s="36"/>
    </row>
    <row r="44">
      <c r="A44" s="14"/>
      <c r="B44" s="191" t="s">
        <v>11</v>
      </c>
      <c r="C44" s="192">
        <v>29.0</v>
      </c>
      <c r="D44" s="17" t="s">
        <v>27</v>
      </c>
      <c r="E44" s="19" t="s">
        <v>30</v>
      </c>
      <c r="F44" s="18" t="s">
        <v>26</v>
      </c>
      <c r="G44" s="18" t="s">
        <v>19</v>
      </c>
      <c r="I44" s="20"/>
      <c r="J44" s="21"/>
      <c r="K44" s="21"/>
      <c r="L44" s="21"/>
      <c r="M44" s="320"/>
      <c r="N44" s="221"/>
    </row>
    <row r="45">
      <c r="A45" s="14"/>
      <c r="B45" s="191" t="s">
        <v>17</v>
      </c>
      <c r="C45" s="192">
        <v>30.0</v>
      </c>
      <c r="D45" s="17" t="s">
        <v>27</v>
      </c>
      <c r="E45" s="18" t="s">
        <v>30</v>
      </c>
      <c r="F45" s="19" t="s">
        <v>26</v>
      </c>
      <c r="G45" s="19" t="s">
        <v>19</v>
      </c>
      <c r="I45" s="20"/>
      <c r="J45" s="21"/>
      <c r="K45" s="21"/>
      <c r="L45" s="21"/>
      <c r="M45" s="21"/>
      <c r="N45" s="22"/>
    </row>
    <row r="46">
      <c r="A46" s="14"/>
      <c r="B46" s="338" t="s">
        <v>21</v>
      </c>
      <c r="C46" s="339">
        <v>31.0</v>
      </c>
      <c r="D46" s="17" t="s">
        <v>27</v>
      </c>
      <c r="E46" s="340" t="s">
        <v>30</v>
      </c>
      <c r="F46" s="340" t="s">
        <v>26</v>
      </c>
      <c r="G46" s="340" t="s">
        <v>19</v>
      </c>
      <c r="I46" s="49"/>
      <c r="J46" s="50"/>
      <c r="K46" s="317"/>
      <c r="L46" s="189"/>
      <c r="M46" s="189"/>
      <c r="N46" s="42"/>
    </row>
    <row r="47">
      <c r="A47" s="14"/>
      <c r="B47" s="191"/>
      <c r="C47" s="192"/>
      <c r="D47" s="17"/>
      <c r="E47" s="18"/>
      <c r="F47" s="18"/>
      <c r="G47" s="18"/>
      <c r="I47" s="49"/>
      <c r="J47" s="50"/>
      <c r="K47" s="321"/>
      <c r="L47" s="189"/>
      <c r="M47" s="189"/>
      <c r="N47" s="42"/>
    </row>
    <row r="48">
      <c r="A48" s="14"/>
      <c r="B48" s="191"/>
      <c r="C48" s="192"/>
      <c r="D48" s="17"/>
      <c r="E48" s="18"/>
      <c r="F48" s="193"/>
      <c r="G48" s="193"/>
      <c r="I48" s="60"/>
      <c r="J48" s="61"/>
      <c r="K48" s="61"/>
      <c r="L48" s="61"/>
      <c r="M48" s="61"/>
      <c r="N48" s="62"/>
    </row>
    <row r="49">
      <c r="E49" s="63">
        <f>COUNTIF(E4:E48, "Mira") + Countif(E4:E48, "Tuna")+ Countif(E4:E48, "Gustavo")+ Countif(E4:E48, "Pablo")+ Countif(E4:E48, "Tavares")+ Countif(E4:E48, "Sobral") + Countif(E4:E48, "Pipo")+ Countif(E4:E48, "Marco Paulo") + Countif(E4:E48, "Nico")+ Countif(E4:E48, "Enfermagem")+ Countif(E4:E48, "Literatus")+ Countif(E4:E48, "Medicina")</f>
        <v>42</v>
      </c>
      <c r="F49" s="63">
        <f>Countif(F4:F48, "Gift") + Countif(F4:F48, "Monte") + Countif(F4:F48, "Sorte") + Countif(F4:F48, "Afonso") + Countif(F4:F48, "Geni") + Countif(F4:F48, "JP") + Countif(F4:F48, "Rufus")</f>
        <v>42</v>
      </c>
      <c r="G49" s="63">
        <f>COUNTIF(G4:G48, "Apostas") + COUNTIF(G4:G48, "Prodígio") + COUNTIF(G4:G48, "Poço") + COUNTIF(G4:G48, "Pedro") + COUNTIF(G4:G48, "Canholas") </f>
        <v>42</v>
      </c>
      <c r="L49" s="64">
        <f>COUNTIF(L4:L48, "Mira") + Countif(L4:L48, "Tuna")+ Countif(L4:L48, "Gustavo")+ Countif(L4:L48, "Pablo")+ Countif(L4:L48, "Tavares")+ Countif(L4:L48, "Sobral") + Countif(L4:L48, "Pipo")+ + Countif(L4:L48, "Nico") + Countif(L4:L48, "Enfermagem")+ Countif(L4:L48, "Literatus")+ Countif(L4:L48, "Medicina")</f>
        <v>10</v>
      </c>
      <c r="M49" s="64">
        <f>Countif(M4:M46, "Gift") + Countif(M4:M46, "Monte") + Countif(M4:M46, "Sorte") + Countif(M4:M46, "Afonso") + Countif(M4:M46, "Geni") + Countif(M4:M46, "JP")</f>
        <v>7</v>
      </c>
      <c r="N49" s="64">
        <f>Countif(N4:N46, "Apostas") + Countif(N4:N46, "Prodígio") + Countif(N4:N46, "Poço")</f>
        <v>7</v>
      </c>
    </row>
    <row r="54" ht="22.5" customHeight="1">
      <c r="D54" s="65" t="s">
        <v>36</v>
      </c>
      <c r="E54" s="65" t="s">
        <v>37</v>
      </c>
      <c r="F54" s="65" t="s">
        <v>38</v>
      </c>
      <c r="G54" s="66" t="s">
        <v>39</v>
      </c>
      <c r="H54" s="67" t="s">
        <v>40</v>
      </c>
      <c r="K54" s="65" t="s">
        <v>36</v>
      </c>
      <c r="L54" s="65" t="s">
        <v>37</v>
      </c>
      <c r="M54" s="65" t="s">
        <v>38</v>
      </c>
      <c r="N54" s="66" t="s">
        <v>39</v>
      </c>
      <c r="O54" s="67" t="s">
        <v>40</v>
      </c>
      <c r="R54" s="68" t="s">
        <v>41</v>
      </c>
    </row>
    <row r="55" ht="22.5" customHeight="1">
      <c r="C55" s="69" t="s">
        <v>42</v>
      </c>
      <c r="D55" s="70" t="s">
        <v>22</v>
      </c>
      <c r="E55" s="71">
        <f>COUNTIF(E3:E48,"Tuna")</f>
        <v>6</v>
      </c>
      <c r="F55" s="72">
        <f>((60/3)*E55)</f>
        <v>120</v>
      </c>
      <c r="G55" s="73">
        <f>E49</f>
        <v>42</v>
      </c>
      <c r="H55" s="74">
        <f>SUM(F55:F63)</f>
        <v>900</v>
      </c>
      <c r="J55" s="69" t="s">
        <v>42</v>
      </c>
      <c r="K55" s="70" t="s">
        <v>22</v>
      </c>
      <c r="L55" s="71">
        <f>COUNTIF(L1:L46,"Tuna")</f>
        <v>0</v>
      </c>
      <c r="M55" s="72">
        <f t="shared" ref="M55:M73" si="2">((75/3)*L55)</f>
        <v>0</v>
      </c>
      <c r="N55" s="73">
        <f t="shared" ref="N55:O55" si="1">SUM(L55:L63)</f>
        <v>10</v>
      </c>
      <c r="O55" s="74">
        <f t="shared" si="1"/>
        <v>250</v>
      </c>
      <c r="Q55" s="75" t="s">
        <v>22</v>
      </c>
      <c r="R55" s="76">
        <f t="shared" ref="R55:R75" si="3">SUM(F55,M55)</f>
        <v>120</v>
      </c>
    </row>
    <row r="56" ht="22.5" customHeight="1">
      <c r="C56" s="77"/>
      <c r="D56" s="78" t="s">
        <v>30</v>
      </c>
      <c r="E56" s="79">
        <f>COUNTIF(E3:E48,"Mira")</f>
        <v>13</v>
      </c>
      <c r="F56" s="80">
        <f>(30+(60/3)*E56)</f>
        <v>290</v>
      </c>
      <c r="G56" s="81"/>
      <c r="H56" s="82"/>
      <c r="J56" s="77"/>
      <c r="K56" s="78" t="s">
        <v>30</v>
      </c>
      <c r="L56" s="79">
        <f>COUNTIF(L1:L46,"Mira")</f>
        <v>8</v>
      </c>
      <c r="M56" s="80">
        <f t="shared" si="2"/>
        <v>200</v>
      </c>
      <c r="N56" s="81"/>
      <c r="O56" s="82"/>
      <c r="Q56" s="83" t="s">
        <v>30</v>
      </c>
      <c r="R56" s="76">
        <f t="shared" si="3"/>
        <v>490</v>
      </c>
    </row>
    <row r="57" ht="22.5" customHeight="1">
      <c r="C57" s="77"/>
      <c r="D57" s="78" t="s">
        <v>13</v>
      </c>
      <c r="E57" s="79">
        <f>COUNTIF(E3:E48,"Pipo")</f>
        <v>12</v>
      </c>
      <c r="F57" s="80">
        <f t="shared" ref="F57:F58" si="4">((60/3)*E57)</f>
        <v>240</v>
      </c>
      <c r="G57" s="81"/>
      <c r="H57" s="82"/>
      <c r="J57" s="77"/>
      <c r="K57" s="78" t="s">
        <v>13</v>
      </c>
      <c r="L57" s="79">
        <f>COUNTIF(L1:L46,"Pipo")</f>
        <v>0</v>
      </c>
      <c r="M57" s="84">
        <f t="shared" si="2"/>
        <v>0</v>
      </c>
      <c r="N57" s="81"/>
      <c r="O57" s="82"/>
      <c r="Q57" s="83" t="s">
        <v>13</v>
      </c>
      <c r="R57" s="76">
        <f t="shared" si="3"/>
        <v>240</v>
      </c>
    </row>
    <row r="58" ht="22.5" customHeight="1">
      <c r="C58" s="77"/>
      <c r="D58" s="78" t="s">
        <v>43</v>
      </c>
      <c r="E58" s="79">
        <f>COUNTIF(E3:E48,"Pablo")</f>
        <v>2</v>
      </c>
      <c r="F58" s="84">
        <f t="shared" si="4"/>
        <v>40</v>
      </c>
      <c r="G58" s="81"/>
      <c r="H58" s="82"/>
      <c r="J58" s="77"/>
      <c r="K58" s="78" t="s">
        <v>43</v>
      </c>
      <c r="L58" s="79">
        <f>COUNTIF(L1:L46,"Pablo")</f>
        <v>0</v>
      </c>
      <c r="M58" s="84">
        <f t="shared" si="2"/>
        <v>0</v>
      </c>
      <c r="N58" s="81"/>
      <c r="O58" s="82"/>
      <c r="Q58" s="83" t="s">
        <v>43</v>
      </c>
      <c r="R58" s="76">
        <f t="shared" si="3"/>
        <v>40</v>
      </c>
    </row>
    <row r="59" ht="22.5" customHeight="1">
      <c r="C59" s="77"/>
      <c r="D59" s="78" t="s">
        <v>44</v>
      </c>
      <c r="E59" s="79">
        <f>COUNTIF(E3:E48,"Tavares")</f>
        <v>5</v>
      </c>
      <c r="F59" s="84">
        <f>(30+(60/3)*E59)</f>
        <v>130</v>
      </c>
      <c r="G59" s="81"/>
      <c r="H59" s="82"/>
      <c r="J59" s="77"/>
      <c r="K59" s="78" t="s">
        <v>44</v>
      </c>
      <c r="L59" s="79">
        <f>COUNTIF(L1:L46,"Tavares")</f>
        <v>1</v>
      </c>
      <c r="M59" s="84">
        <f t="shared" si="2"/>
        <v>25</v>
      </c>
      <c r="N59" s="81"/>
      <c r="O59" s="82"/>
      <c r="Q59" s="83" t="s">
        <v>44</v>
      </c>
      <c r="R59" s="76">
        <f t="shared" si="3"/>
        <v>155</v>
      </c>
    </row>
    <row r="60" ht="22.5" customHeight="1">
      <c r="C60" s="77"/>
      <c r="D60" s="78" t="s">
        <v>201</v>
      </c>
      <c r="E60" s="79">
        <f>COUNTIF(E3:E48,"Gustavo")</f>
        <v>0</v>
      </c>
      <c r="F60" s="84">
        <f t="shared" ref="F60:F65" si="5">((60/3)*E60)</f>
        <v>0</v>
      </c>
      <c r="G60" s="81"/>
      <c r="H60" s="82"/>
      <c r="J60" s="77"/>
      <c r="K60" s="78" t="s">
        <v>201</v>
      </c>
      <c r="L60" s="79">
        <f>COUNTIF(L4:L51,"Gustavo")</f>
        <v>0</v>
      </c>
      <c r="M60" s="84">
        <f t="shared" si="2"/>
        <v>0</v>
      </c>
      <c r="N60" s="81"/>
      <c r="O60" s="82"/>
      <c r="Q60" s="83" t="s">
        <v>201</v>
      </c>
      <c r="R60" s="76">
        <f t="shared" si="3"/>
        <v>0</v>
      </c>
    </row>
    <row r="61" ht="22.5" customHeight="1">
      <c r="C61" s="77"/>
      <c r="D61" s="326" t="s">
        <v>46</v>
      </c>
      <c r="E61" s="327">
        <f>COUNTIF(E3:E48,"Tomás")</f>
        <v>0</v>
      </c>
      <c r="F61" s="328">
        <f t="shared" si="5"/>
        <v>0</v>
      </c>
      <c r="G61" s="81"/>
      <c r="H61" s="82"/>
      <c r="J61" s="77"/>
      <c r="K61" s="326" t="s">
        <v>46</v>
      </c>
      <c r="L61" s="327">
        <f t="shared" ref="L61:L62" si="6">COUNTIF(L2:L48,"Tomás")</f>
        <v>0</v>
      </c>
      <c r="M61" s="328">
        <f t="shared" si="2"/>
        <v>0</v>
      </c>
      <c r="N61" s="81"/>
      <c r="O61" s="82"/>
      <c r="Q61" s="97" t="s">
        <v>46</v>
      </c>
      <c r="R61" s="76">
        <f t="shared" si="3"/>
        <v>0</v>
      </c>
    </row>
    <row r="62" ht="22.5" customHeight="1">
      <c r="C62" s="77"/>
      <c r="D62" s="85" t="s">
        <v>33</v>
      </c>
      <c r="E62" s="86">
        <f>COUNTIF(E4:E49,"Marco Paulo")</f>
        <v>2</v>
      </c>
      <c r="F62" s="87">
        <f t="shared" si="5"/>
        <v>40</v>
      </c>
      <c r="G62" s="81"/>
      <c r="H62" s="82"/>
      <c r="J62" s="77"/>
      <c r="K62" s="85" t="s">
        <v>33</v>
      </c>
      <c r="L62" s="86">
        <f t="shared" si="6"/>
        <v>0</v>
      </c>
      <c r="M62" s="87">
        <f t="shared" si="2"/>
        <v>0</v>
      </c>
      <c r="N62" s="81"/>
      <c r="O62" s="82"/>
      <c r="Q62" s="239" t="s">
        <v>33</v>
      </c>
      <c r="R62" s="76">
        <f t="shared" si="3"/>
        <v>40</v>
      </c>
    </row>
    <row r="63" ht="22.5" customHeight="1">
      <c r="C63" s="91"/>
      <c r="D63" s="329" t="s">
        <v>206</v>
      </c>
      <c r="E63" s="330">
        <f>COUNTIF(E4:E49,"Nico")</f>
        <v>2</v>
      </c>
      <c r="F63" s="331">
        <f t="shared" si="5"/>
        <v>40</v>
      </c>
      <c r="G63" s="95"/>
      <c r="H63" s="96"/>
      <c r="J63" s="91"/>
      <c r="K63" s="329" t="s">
        <v>206</v>
      </c>
      <c r="L63" s="330">
        <f>COUNTIF(L3:L49,"Nico")</f>
        <v>1</v>
      </c>
      <c r="M63" s="331">
        <f t="shared" si="2"/>
        <v>25</v>
      </c>
      <c r="N63" s="95"/>
      <c r="O63" s="96"/>
      <c r="Q63" s="239" t="s">
        <v>206</v>
      </c>
      <c r="R63" s="98">
        <f t="shared" si="3"/>
        <v>65</v>
      </c>
    </row>
    <row r="64" ht="22.5" customHeight="1">
      <c r="C64" s="69" t="s">
        <v>47</v>
      </c>
      <c r="D64" s="99" t="s">
        <v>35</v>
      </c>
      <c r="E64" s="100">
        <f>Countif(F3:F48,"Gift")</f>
        <v>11</v>
      </c>
      <c r="F64" s="101">
        <f t="shared" si="5"/>
        <v>220</v>
      </c>
      <c r="G64" s="102">
        <f>F49</f>
        <v>42</v>
      </c>
      <c r="H64" s="103">
        <f>SUM(F64:F70)</f>
        <v>900</v>
      </c>
      <c r="J64" s="69" t="s">
        <v>47</v>
      </c>
      <c r="K64" s="99" t="s">
        <v>35</v>
      </c>
      <c r="L64" s="100">
        <f>Countif(M1:M46,"Gift")</f>
        <v>1</v>
      </c>
      <c r="M64" s="101">
        <f t="shared" si="2"/>
        <v>25</v>
      </c>
      <c r="N64" s="102">
        <f t="shared" ref="N64:O64" si="7">SUM(L64:L70)</f>
        <v>7</v>
      </c>
      <c r="O64" s="103">
        <f t="shared" si="7"/>
        <v>175</v>
      </c>
      <c r="Q64" s="104" t="s">
        <v>35</v>
      </c>
      <c r="R64" s="105">
        <f t="shared" si="3"/>
        <v>245</v>
      </c>
    </row>
    <row r="65" ht="22.5" customHeight="1">
      <c r="C65" s="77"/>
      <c r="D65" s="99" t="s">
        <v>34</v>
      </c>
      <c r="E65" s="100">
        <f>Countif(F3:F48,"Monte")</f>
        <v>6</v>
      </c>
      <c r="F65" s="101">
        <f t="shared" si="5"/>
        <v>120</v>
      </c>
      <c r="G65" s="106"/>
      <c r="H65" s="82"/>
      <c r="J65" s="77"/>
      <c r="K65" s="99" t="s">
        <v>34</v>
      </c>
      <c r="L65" s="100">
        <f>Countif(M1:M46,"Monte")</f>
        <v>6</v>
      </c>
      <c r="M65" s="101">
        <f t="shared" si="2"/>
        <v>150</v>
      </c>
      <c r="N65" s="106"/>
      <c r="O65" s="82"/>
      <c r="Q65" s="83" t="s">
        <v>34</v>
      </c>
      <c r="R65" s="76">
        <f t="shared" si="3"/>
        <v>270</v>
      </c>
    </row>
    <row r="66" ht="22.5" customHeight="1">
      <c r="C66" s="77"/>
      <c r="D66" s="99" t="s">
        <v>26</v>
      </c>
      <c r="E66" s="100">
        <f>Countif(F3:F48,"Sorte")</f>
        <v>15</v>
      </c>
      <c r="F66" s="101">
        <f>(30+30+(60/3)*E66)</f>
        <v>360</v>
      </c>
      <c r="G66" s="106"/>
      <c r="H66" s="82"/>
      <c r="J66" s="77"/>
      <c r="K66" s="99" t="s">
        <v>26</v>
      </c>
      <c r="L66" s="100">
        <f>Countif(M1:M46,"Sorte")</f>
        <v>0</v>
      </c>
      <c r="M66" s="101">
        <f t="shared" si="2"/>
        <v>0</v>
      </c>
      <c r="N66" s="106"/>
      <c r="O66" s="82"/>
      <c r="Q66" s="83" t="s">
        <v>26</v>
      </c>
      <c r="R66" s="76">
        <f t="shared" si="3"/>
        <v>360</v>
      </c>
    </row>
    <row r="67" ht="22.5" customHeight="1">
      <c r="C67" s="77"/>
      <c r="D67" s="99" t="s">
        <v>14</v>
      </c>
      <c r="E67" s="100">
        <f>Countif(F3:F48,"Afonso")</f>
        <v>6</v>
      </c>
      <c r="F67" s="101">
        <f t="shared" ref="F67:F70" si="8">((60/3)*E67)</f>
        <v>120</v>
      </c>
      <c r="G67" s="106"/>
      <c r="H67" s="82"/>
      <c r="J67" s="77"/>
      <c r="K67" s="99" t="s">
        <v>14</v>
      </c>
      <c r="L67" s="100">
        <f>Countif(M1:M46,"Afonso")</f>
        <v>0</v>
      </c>
      <c r="M67" s="101">
        <f t="shared" si="2"/>
        <v>0</v>
      </c>
      <c r="N67" s="106"/>
      <c r="O67" s="82"/>
      <c r="Q67" s="83" t="s">
        <v>14</v>
      </c>
      <c r="R67" s="76">
        <f t="shared" si="3"/>
        <v>120</v>
      </c>
    </row>
    <row r="68" ht="22.5" customHeight="1">
      <c r="C68" s="77"/>
      <c r="D68" s="99" t="s">
        <v>18</v>
      </c>
      <c r="E68" s="107">
        <f>Countif(F3:F48,"Geni")</f>
        <v>2</v>
      </c>
      <c r="F68" s="108">
        <f t="shared" si="8"/>
        <v>40</v>
      </c>
      <c r="G68" s="106"/>
      <c r="H68" s="82"/>
      <c r="J68" s="77"/>
      <c r="K68" s="99" t="s">
        <v>18</v>
      </c>
      <c r="L68" s="100">
        <f>Countif(M1:M46,"Geni")</f>
        <v>0</v>
      </c>
      <c r="M68" s="101">
        <f t="shared" si="2"/>
        <v>0</v>
      </c>
      <c r="N68" s="106"/>
      <c r="O68" s="82"/>
      <c r="Q68" s="83" t="s">
        <v>18</v>
      </c>
      <c r="R68" s="76">
        <f t="shared" si="3"/>
        <v>40</v>
      </c>
    </row>
    <row r="69" ht="22.5" customHeight="1">
      <c r="C69" s="77"/>
      <c r="D69" s="326" t="s">
        <v>222</v>
      </c>
      <c r="E69" s="327">
        <f>COUNTIF(F3:F48,"Rufus")</f>
        <v>2</v>
      </c>
      <c r="F69" s="328">
        <f t="shared" si="8"/>
        <v>40</v>
      </c>
      <c r="G69" s="106"/>
      <c r="H69" s="82"/>
      <c r="J69" s="77"/>
      <c r="K69" s="326" t="s">
        <v>222</v>
      </c>
      <c r="L69" s="327">
        <f>COUNTIF(M1:M46,"Rufus")</f>
        <v>0</v>
      </c>
      <c r="M69" s="328">
        <f t="shared" si="2"/>
        <v>0</v>
      </c>
      <c r="N69" s="106"/>
      <c r="O69" s="82"/>
      <c r="Q69" s="97" t="s">
        <v>222</v>
      </c>
      <c r="R69" s="76">
        <f t="shared" si="3"/>
        <v>40</v>
      </c>
    </row>
    <row r="70" ht="22.5" customHeight="1">
      <c r="C70" s="91"/>
      <c r="D70" s="92" t="s">
        <v>48</v>
      </c>
      <c r="E70" s="86">
        <f>Countif(F3:F48,"JP")</f>
        <v>0</v>
      </c>
      <c r="F70" s="87">
        <f t="shared" si="8"/>
        <v>0</v>
      </c>
      <c r="G70" s="106"/>
      <c r="H70" s="82"/>
      <c r="J70" s="91"/>
      <c r="K70" s="92" t="s">
        <v>48</v>
      </c>
      <c r="L70" s="93">
        <f>Countif(M1:M46,"JP")</f>
        <v>0</v>
      </c>
      <c r="M70" s="94">
        <f t="shared" si="2"/>
        <v>0</v>
      </c>
      <c r="N70" s="106"/>
      <c r="O70" s="82"/>
      <c r="Q70" s="97" t="s">
        <v>48</v>
      </c>
      <c r="R70" s="98">
        <f t="shared" si="3"/>
        <v>0</v>
      </c>
    </row>
    <row r="71" ht="22.5" customHeight="1">
      <c r="C71" s="69" t="s">
        <v>49</v>
      </c>
      <c r="D71" s="114" t="s">
        <v>19</v>
      </c>
      <c r="E71" s="115">
        <f>Countif(G3:G48,"Apostas")</f>
        <v>19</v>
      </c>
      <c r="F71" s="112">
        <f t="shared" ref="F71:F72" si="9">(30+(60/3)*E71)</f>
        <v>410</v>
      </c>
      <c r="G71" s="73">
        <f>G49</f>
        <v>42</v>
      </c>
      <c r="H71" s="74">
        <f>SUM(F71:F75)</f>
        <v>900</v>
      </c>
      <c r="J71" s="69" t="s">
        <v>49</v>
      </c>
      <c r="K71" s="114" t="s">
        <v>19</v>
      </c>
      <c r="L71" s="115">
        <f>Countif(N1:N46,"Apostas")</f>
        <v>6</v>
      </c>
      <c r="M71" s="112">
        <f t="shared" si="2"/>
        <v>150</v>
      </c>
      <c r="N71" s="73">
        <f>SUM(L71:L73)</f>
        <v>7</v>
      </c>
      <c r="O71" s="74">
        <f>SUM(M71:M75)</f>
        <v>175</v>
      </c>
      <c r="Q71" s="104" t="s">
        <v>19</v>
      </c>
      <c r="R71" s="105">
        <f t="shared" si="3"/>
        <v>560</v>
      </c>
    </row>
    <row r="72" ht="22.5" customHeight="1">
      <c r="C72" s="77"/>
      <c r="D72" s="120" t="s">
        <v>15</v>
      </c>
      <c r="E72" s="121">
        <f>Countif(G3:G48,"Prodígio")</f>
        <v>19</v>
      </c>
      <c r="F72" s="119">
        <f t="shared" si="9"/>
        <v>410</v>
      </c>
      <c r="G72" s="81"/>
      <c r="H72" s="82"/>
      <c r="J72" s="77"/>
      <c r="K72" s="120" t="s">
        <v>15</v>
      </c>
      <c r="L72" s="121">
        <f>Countif(N1:N46,"Prodígio")</f>
        <v>0</v>
      </c>
      <c r="M72" s="119">
        <f t="shared" si="2"/>
        <v>0</v>
      </c>
      <c r="N72" s="81"/>
      <c r="O72" s="82"/>
      <c r="Q72" s="83" t="s">
        <v>15</v>
      </c>
      <c r="R72" s="76">
        <f t="shared" si="3"/>
        <v>410</v>
      </c>
    </row>
    <row r="73" ht="22.5" customHeight="1">
      <c r="C73" s="77"/>
      <c r="D73" s="120" t="s">
        <v>50</v>
      </c>
      <c r="E73" s="121">
        <f>Countif(G1:G48,"Poço")</f>
        <v>2</v>
      </c>
      <c r="F73" s="119">
        <f t="shared" ref="F73:F75" si="10">((60/3)*E73)</f>
        <v>40</v>
      </c>
      <c r="G73" s="81"/>
      <c r="H73" s="82"/>
      <c r="J73" s="77"/>
      <c r="K73" s="120" t="s">
        <v>50</v>
      </c>
      <c r="L73" s="121">
        <f>Countif(N1:N46,"Poço")</f>
        <v>1</v>
      </c>
      <c r="M73" s="119">
        <f t="shared" si="2"/>
        <v>25</v>
      </c>
      <c r="N73" s="81"/>
      <c r="O73" s="82"/>
      <c r="Q73" s="83" t="s">
        <v>50</v>
      </c>
      <c r="R73" s="76">
        <f t="shared" si="3"/>
        <v>65</v>
      </c>
    </row>
    <row r="74" ht="22.5" customHeight="1">
      <c r="C74" s="77"/>
      <c r="D74" s="326" t="s">
        <v>24</v>
      </c>
      <c r="E74" s="327">
        <f>Countif(G2:G49,"Pedro")</f>
        <v>0</v>
      </c>
      <c r="F74" s="328">
        <f t="shared" si="10"/>
        <v>0</v>
      </c>
      <c r="G74" s="81"/>
      <c r="H74" s="82"/>
      <c r="J74" s="77"/>
      <c r="K74" s="326" t="s">
        <v>24</v>
      </c>
      <c r="L74" s="327">
        <f>Countif(N2:N46,"Pedro")</f>
        <v>0</v>
      </c>
      <c r="M74" s="328">
        <f t="shared" ref="M74:M75" si="11">((60/3)*L74)</f>
        <v>0</v>
      </c>
      <c r="N74" s="81"/>
      <c r="O74" s="82"/>
      <c r="Q74" s="97" t="s">
        <v>24</v>
      </c>
      <c r="R74" s="76">
        <f t="shared" si="3"/>
        <v>0</v>
      </c>
    </row>
    <row r="75" ht="22.5" customHeight="1">
      <c r="C75" s="91"/>
      <c r="D75" s="332" t="s">
        <v>223</v>
      </c>
      <c r="E75" s="333">
        <f>Countif(G3:G50,"Canholas")</f>
        <v>2</v>
      </c>
      <c r="F75" s="334">
        <f t="shared" si="10"/>
        <v>40</v>
      </c>
      <c r="G75" s="130"/>
      <c r="H75" s="127"/>
      <c r="J75" s="91"/>
      <c r="K75" s="332" t="s">
        <v>223</v>
      </c>
      <c r="L75" s="333">
        <f>Countif(N3:N47,"Canholas")</f>
        <v>0</v>
      </c>
      <c r="M75" s="334">
        <f t="shared" si="11"/>
        <v>0</v>
      </c>
      <c r="N75" s="130"/>
      <c r="O75" s="127"/>
      <c r="Q75" s="131" t="s">
        <v>223</v>
      </c>
      <c r="R75" s="76">
        <f t="shared" si="3"/>
        <v>40</v>
      </c>
    </row>
    <row r="76">
      <c r="H76" s="132">
        <f>SUM(H55:H73)</f>
        <v>2700</v>
      </c>
      <c r="O76" s="132">
        <f>SUM(O55:O73)</f>
        <v>600</v>
      </c>
      <c r="Q76" s="133"/>
      <c r="R76" s="134">
        <f>SUM(H76+O76)</f>
        <v>3300</v>
      </c>
    </row>
    <row r="77">
      <c r="H77" s="135"/>
      <c r="O77" s="135"/>
      <c r="Q77" s="133"/>
      <c r="R77" s="135"/>
    </row>
    <row r="80" ht="22.5" customHeight="1">
      <c r="D80" s="136" t="s">
        <v>36</v>
      </c>
      <c r="E80" s="136" t="s">
        <v>37</v>
      </c>
      <c r="F80" s="136" t="s">
        <v>38</v>
      </c>
      <c r="G80" s="137" t="s">
        <v>40</v>
      </c>
      <c r="J80" s="138" t="s">
        <v>6</v>
      </c>
      <c r="K80" s="100" t="s">
        <v>51</v>
      </c>
      <c r="Q80" s="139" t="s">
        <v>52</v>
      </c>
    </row>
    <row r="81" ht="22.5" customHeight="1">
      <c r="C81" s="140" t="s">
        <v>53</v>
      </c>
      <c r="D81" s="141" t="s">
        <v>54</v>
      </c>
      <c r="E81" s="142">
        <f>COUNTIF(E22:E48,"Medicina")</f>
        <v>0</v>
      </c>
      <c r="F81" s="143">
        <f t="shared" ref="F81:F83" si="12">((60/3)*E81)</f>
        <v>0</v>
      </c>
      <c r="G81" s="144">
        <f>SUM(F81:F83)</f>
        <v>0</v>
      </c>
      <c r="J81" s="145" t="s">
        <v>55</v>
      </c>
      <c r="K81" s="146">
        <v>20.0</v>
      </c>
      <c r="P81" s="147"/>
      <c r="Q81" s="223" t="s">
        <v>56</v>
      </c>
      <c r="R81" s="224"/>
    </row>
    <row r="82" ht="22.5" customHeight="1">
      <c r="C82" s="116"/>
      <c r="D82" s="150" t="s">
        <v>57</v>
      </c>
      <c r="E82" s="88">
        <f>COUNTIF(E22:E48,"Literatus")</f>
        <v>0</v>
      </c>
      <c r="F82" s="151">
        <f t="shared" si="12"/>
        <v>0</v>
      </c>
      <c r="G82" s="152"/>
      <c r="J82" s="153" t="s">
        <v>58</v>
      </c>
      <c r="K82" s="154">
        <v>20.0</v>
      </c>
      <c r="P82" s="155"/>
      <c r="Q82" s="225" t="s">
        <v>59</v>
      </c>
      <c r="R82" s="226"/>
    </row>
    <row r="83" ht="22.5" customHeight="1">
      <c r="C83" s="124"/>
      <c r="D83" s="158" t="s">
        <v>60</v>
      </c>
      <c r="E83" s="159">
        <f>COUNTIF(E22:E48,"Enfermagem")</f>
        <v>0</v>
      </c>
      <c r="F83" s="160">
        <f t="shared" si="12"/>
        <v>0</v>
      </c>
      <c r="G83" s="161"/>
      <c r="J83" s="153" t="s">
        <v>61</v>
      </c>
      <c r="K83" s="154">
        <v>20.0</v>
      </c>
      <c r="P83" s="162"/>
      <c r="Q83" s="225" t="s">
        <v>62</v>
      </c>
      <c r="R83" s="226"/>
    </row>
    <row r="84" ht="22.5" customHeight="1">
      <c r="G84" s="163">
        <f>SUM(G81:G83)</f>
        <v>0</v>
      </c>
      <c r="J84" s="164" t="s">
        <v>63</v>
      </c>
      <c r="K84" s="165">
        <v>20.0</v>
      </c>
      <c r="P84" s="166"/>
      <c r="Q84" s="223" t="s">
        <v>64</v>
      </c>
      <c r="R84" s="224"/>
    </row>
    <row r="85">
      <c r="G85" s="161"/>
      <c r="P85" s="167" t="s">
        <v>65</v>
      </c>
      <c r="Q85" s="225" t="s">
        <v>66</v>
      </c>
      <c r="R85" s="226"/>
    </row>
    <row r="86">
      <c r="P86" s="168" t="s">
        <v>65</v>
      </c>
      <c r="Q86" s="225" t="s">
        <v>202</v>
      </c>
      <c r="R86" s="226"/>
    </row>
    <row r="87">
      <c r="P87" s="169" t="s">
        <v>28</v>
      </c>
      <c r="Q87" s="225" t="s">
        <v>203</v>
      </c>
      <c r="R87" s="226"/>
    </row>
    <row r="88">
      <c r="P88" s="170"/>
      <c r="Q88" s="225" t="s">
        <v>69</v>
      </c>
      <c r="R88" s="226"/>
    </row>
    <row r="89">
      <c r="P89" s="171" t="s">
        <v>65</v>
      </c>
      <c r="Q89" s="225" t="s">
        <v>68</v>
      </c>
      <c r="R89" s="226"/>
    </row>
    <row r="90">
      <c r="P90" s="172">
        <v>46.0</v>
      </c>
      <c r="Q90" s="225" t="s">
        <v>71</v>
      </c>
      <c r="R90" s="226"/>
    </row>
  </sheetData>
  <mergeCells count="89">
    <mergeCell ref="B10:B11"/>
    <mergeCell ref="C10:C11"/>
    <mergeCell ref="B12:B13"/>
    <mergeCell ref="C12:C13"/>
    <mergeCell ref="B18:B19"/>
    <mergeCell ref="C18:C19"/>
    <mergeCell ref="C20:C21"/>
    <mergeCell ref="C22:C23"/>
    <mergeCell ref="B40:B41"/>
    <mergeCell ref="C40:C41"/>
    <mergeCell ref="B42:B43"/>
    <mergeCell ref="C42:C43"/>
    <mergeCell ref="C55:C63"/>
    <mergeCell ref="C64:C70"/>
    <mergeCell ref="C71:C75"/>
    <mergeCell ref="C81:C83"/>
    <mergeCell ref="B20:B21"/>
    <mergeCell ref="B22:B23"/>
    <mergeCell ref="B28:B29"/>
    <mergeCell ref="C28:C29"/>
    <mergeCell ref="B30:B31"/>
    <mergeCell ref="C30:C31"/>
    <mergeCell ref="C32:C33"/>
    <mergeCell ref="I32:I33"/>
    <mergeCell ref="J32:J33"/>
    <mergeCell ref="K32:K33"/>
    <mergeCell ref="I38:I39"/>
    <mergeCell ref="J38:J39"/>
    <mergeCell ref="K38:K39"/>
    <mergeCell ref="I40:I41"/>
    <mergeCell ref="J40:J41"/>
    <mergeCell ref="K40:K41"/>
    <mergeCell ref="G55:G63"/>
    <mergeCell ref="H55:H63"/>
    <mergeCell ref="J55:J63"/>
    <mergeCell ref="N55:N63"/>
    <mergeCell ref="O55:O63"/>
    <mergeCell ref="N64:N70"/>
    <mergeCell ref="N71:N75"/>
    <mergeCell ref="O76:O77"/>
    <mergeCell ref="R76:R77"/>
    <mergeCell ref="Q80:R80"/>
    <mergeCell ref="H71:H75"/>
    <mergeCell ref="H76:H77"/>
    <mergeCell ref="G81:G83"/>
    <mergeCell ref="G84:G85"/>
    <mergeCell ref="G64:G70"/>
    <mergeCell ref="H64:H70"/>
    <mergeCell ref="J64:J70"/>
    <mergeCell ref="O64:O70"/>
    <mergeCell ref="G71:G75"/>
    <mergeCell ref="J71:J75"/>
    <mergeCell ref="O71:O75"/>
    <mergeCell ref="B1:C1"/>
    <mergeCell ref="B2:G2"/>
    <mergeCell ref="J2:K2"/>
    <mergeCell ref="I3:N3"/>
    <mergeCell ref="B8:B9"/>
    <mergeCell ref="C8:C9"/>
    <mergeCell ref="I8:I9"/>
    <mergeCell ref="J8:J9"/>
    <mergeCell ref="K8:K9"/>
    <mergeCell ref="I10:I11"/>
    <mergeCell ref="J10:J11"/>
    <mergeCell ref="K10:K11"/>
    <mergeCell ref="J12:J13"/>
    <mergeCell ref="K12:K13"/>
    <mergeCell ref="I12:I13"/>
    <mergeCell ref="I18:I19"/>
    <mergeCell ref="J18:J19"/>
    <mergeCell ref="K18:K19"/>
    <mergeCell ref="I20:I21"/>
    <mergeCell ref="J20:J21"/>
    <mergeCell ref="K20:K21"/>
    <mergeCell ref="J30:J31"/>
    <mergeCell ref="K30:K31"/>
    <mergeCell ref="I22:I23"/>
    <mergeCell ref="J22:J23"/>
    <mergeCell ref="K22:K23"/>
    <mergeCell ref="I28:I29"/>
    <mergeCell ref="J28:J29"/>
    <mergeCell ref="K28:K29"/>
    <mergeCell ref="I30:I31"/>
    <mergeCell ref="B32:B33"/>
    <mergeCell ref="B38:B39"/>
    <mergeCell ref="C38:C39"/>
    <mergeCell ref="I42:I43"/>
    <mergeCell ref="J42:J43"/>
    <mergeCell ref="K42:K43"/>
  </mergeCells>
  <conditionalFormatting sqref="C80">
    <cfRule type="notContainsBlanks" dxfId="7" priority="1">
      <formula>LEN(TRIM(C80))&gt;0</formula>
    </cfRule>
  </conditionalFormatting>
  <dataValidations>
    <dataValidation type="list" allowBlank="1" showErrorMessage="1" sqref="L8:L12 L18:L22 L28:L32 L38:L42">
      <formula1>"Tuna,Gustavo,Mira,Pablo,Tavares,Pipo,Sobral,Nico,Medicina,Literatus,Enfermagem,-"</formula1>
    </dataValidation>
    <dataValidation type="list" allowBlank="1" showErrorMessage="1" sqref="N12 N18 G16:G19 N20 N22 N28 N32 N38 G22:G41 G44 G47:G48">
      <formula1>"Apostas,Prodígio,Poço,-"</formula1>
    </dataValidation>
    <dataValidation type="list" allowBlank="1" showErrorMessage="1" sqref="P85">
      <formula1>"Nome"</formula1>
    </dataValidation>
    <dataValidation type="list" allowBlank="1" showErrorMessage="1" sqref="K10 K20 K30 K40">
      <formula1>"17h30,19h00,18h30"</formula1>
    </dataValidation>
    <dataValidation type="list" allowBlank="1" showErrorMessage="1" sqref="P87">
      <formula1>"-"</formula1>
    </dataValidation>
    <dataValidation type="list" allowBlank="1" showErrorMessage="1" sqref="P86">
      <formula1>"Nome"</formula1>
    </dataValidation>
    <dataValidation type="list" allowBlank="1" showErrorMessage="1" sqref="D4:D48">
      <formula1>"19h00,18h00,19h30,21h00,21h30,16h00"</formula1>
    </dataValidation>
    <dataValidation type="list" allowBlank="1" showErrorMessage="1" sqref="F4:F48">
      <formula1>"Gift,Monte,Sorte,Afonso,Geni,Rufus,JP,-"</formula1>
    </dataValidation>
    <dataValidation type="list" allowBlank="1" showErrorMessage="1" sqref="P88">
      <formula1>" -"</formula1>
    </dataValidation>
    <dataValidation type="list" allowBlank="1" showErrorMessage="1" sqref="M8 M10 M12 M18 M20 M22 M28 M30 M32 M38 M40 M42">
      <formula1>"Gift,Monte,Sorte,Afonso,Geni,JP,-"</formula1>
    </dataValidation>
    <dataValidation type="custom" allowBlank="1" showDropDown="1" sqref="M55:M75 F55:F75 F81:F83 K81:K84">
      <formula1>AND(ISNUMBER(F55),(NOT(OR(NOT(ISERROR(DATEVALUE(F55))), AND(ISNUMBER(F55), LEFT(CELL("format", F55))="D")))))</formula1>
    </dataValidation>
    <dataValidation type="list" allowBlank="1" showErrorMessage="1" sqref="N8 N10 G4:G15 G20:G21 N30 N40 N42 G42:G43 G45:G46">
      <formula1>"Apostas,Prodígio,Poço,Pedro,Canholas,-"</formula1>
    </dataValidation>
    <dataValidation type="list" allowBlank="1" showErrorMessage="1" sqref="E4:E48">
      <formula1>"Tuna,Pipo,Mira,Pablo,Gustavo,Tavares,Tomás,Nico,Sobral,Marco Paulo,Medicina,Literatus,Enfermagem,-"</formula1>
    </dataValidation>
    <dataValidation type="list" allowBlank="1" showErrorMessage="1" sqref="K8 K12 K18 K22 K28 K32 K38 K42">
      <formula1>"17h00,19h00,18h30"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25"/>
    <col customWidth="1" min="13" max="13" width="13.0"/>
    <col customWidth="1" min="14" max="14" width="14.13"/>
  </cols>
  <sheetData>
    <row r="1">
      <c r="A1" s="1"/>
      <c r="B1" s="2" t="s">
        <v>1</v>
      </c>
    </row>
    <row r="2">
      <c r="A2" s="3"/>
      <c r="B2" s="4" t="s">
        <v>199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218</v>
      </c>
      <c r="J3" s="12"/>
      <c r="K3" s="12"/>
      <c r="L3" s="12"/>
      <c r="M3" s="12"/>
      <c r="N3" s="13"/>
    </row>
    <row r="4">
      <c r="A4" s="14"/>
      <c r="B4" s="25" t="s">
        <v>29</v>
      </c>
      <c r="C4" s="26">
        <v>1.0</v>
      </c>
      <c r="D4" s="17" t="s">
        <v>12</v>
      </c>
      <c r="E4" s="18" t="s">
        <v>13</v>
      </c>
      <c r="F4" s="18" t="s">
        <v>34</v>
      </c>
      <c r="G4" s="19" t="s">
        <v>19</v>
      </c>
      <c r="I4" s="324"/>
      <c r="J4" s="324"/>
      <c r="K4" s="324"/>
      <c r="L4" s="324"/>
      <c r="M4" s="324"/>
      <c r="N4" s="324"/>
    </row>
    <row r="5">
      <c r="A5" s="14"/>
      <c r="B5" s="23"/>
      <c r="C5" s="23"/>
      <c r="D5" s="17" t="s">
        <v>16</v>
      </c>
      <c r="E5" s="18" t="s">
        <v>13</v>
      </c>
      <c r="F5" s="18" t="s">
        <v>34</v>
      </c>
      <c r="G5" s="19" t="s">
        <v>19</v>
      </c>
      <c r="I5" s="335"/>
      <c r="J5" s="335"/>
      <c r="K5" s="335"/>
      <c r="L5" s="335"/>
      <c r="M5" s="335"/>
      <c r="N5" s="335"/>
      <c r="P5" s="1" t="s">
        <v>219</v>
      </c>
    </row>
    <row r="6">
      <c r="A6" s="14"/>
      <c r="B6" s="25" t="s">
        <v>31</v>
      </c>
      <c r="C6" s="26">
        <v>2.0</v>
      </c>
      <c r="D6" s="17" t="s">
        <v>12</v>
      </c>
      <c r="E6" s="18" t="s">
        <v>30</v>
      </c>
      <c r="F6" s="18" t="s">
        <v>34</v>
      </c>
      <c r="G6" s="18" t="s">
        <v>19</v>
      </c>
      <c r="I6" s="218" t="s">
        <v>31</v>
      </c>
      <c r="J6" s="196">
        <v>2.0</v>
      </c>
      <c r="K6" s="197" t="s">
        <v>200</v>
      </c>
      <c r="L6" s="47" t="s">
        <v>13</v>
      </c>
      <c r="M6" s="30" t="s">
        <v>14</v>
      </c>
      <c r="N6" s="214" t="s">
        <v>15</v>
      </c>
      <c r="P6" s="1" t="s">
        <v>220</v>
      </c>
    </row>
    <row r="7">
      <c r="A7" s="14"/>
      <c r="B7" s="23"/>
      <c r="C7" s="23"/>
      <c r="D7" s="17" t="s">
        <v>16</v>
      </c>
      <c r="E7" s="18" t="s">
        <v>30</v>
      </c>
      <c r="F7" s="18" t="s">
        <v>34</v>
      </c>
      <c r="G7" s="18" t="s">
        <v>19</v>
      </c>
      <c r="I7" s="207"/>
      <c r="L7" s="189"/>
      <c r="M7" s="189"/>
      <c r="N7" s="42"/>
      <c r="P7" s="1" t="s">
        <v>221</v>
      </c>
    </row>
    <row r="8">
      <c r="A8" s="14"/>
      <c r="B8" s="191" t="s">
        <v>11</v>
      </c>
      <c r="C8" s="192">
        <v>3.0</v>
      </c>
      <c r="D8" s="17" t="s">
        <v>27</v>
      </c>
      <c r="E8" s="18" t="s">
        <v>30</v>
      </c>
      <c r="F8" s="18" t="s">
        <v>14</v>
      </c>
      <c r="G8" s="18" t="s">
        <v>15</v>
      </c>
      <c r="I8" s="49"/>
      <c r="J8" s="50"/>
      <c r="K8" s="317"/>
      <c r="L8" s="189"/>
      <c r="M8" s="189"/>
      <c r="N8" s="42"/>
    </row>
    <row r="9">
      <c r="A9" s="14"/>
      <c r="B9" s="191" t="s">
        <v>17</v>
      </c>
      <c r="C9" s="192">
        <v>4.0</v>
      </c>
      <c r="D9" s="17" t="s">
        <v>27</v>
      </c>
      <c r="E9" s="18" t="s">
        <v>30</v>
      </c>
      <c r="F9" s="18" t="s">
        <v>14</v>
      </c>
      <c r="G9" s="19" t="s">
        <v>19</v>
      </c>
      <c r="I9" s="49"/>
      <c r="J9" s="50"/>
      <c r="K9" s="317"/>
      <c r="L9" s="189"/>
      <c r="M9" s="189"/>
      <c r="N9" s="42"/>
    </row>
    <row r="10">
      <c r="A10" s="14"/>
      <c r="B10" s="191" t="s">
        <v>21</v>
      </c>
      <c r="C10" s="192">
        <v>5.0</v>
      </c>
      <c r="D10" s="17" t="s">
        <v>27</v>
      </c>
      <c r="E10" s="18" t="s">
        <v>13</v>
      </c>
      <c r="F10" s="19" t="s">
        <v>26</v>
      </c>
      <c r="G10" s="19" t="s">
        <v>15</v>
      </c>
      <c r="I10" s="52"/>
      <c r="J10" s="53"/>
      <c r="K10" s="321"/>
      <c r="L10" s="189"/>
      <c r="M10" s="189"/>
      <c r="N10" s="213"/>
    </row>
    <row r="11">
      <c r="A11" s="14"/>
      <c r="B11" s="191" t="s">
        <v>23</v>
      </c>
      <c r="C11" s="192">
        <v>6.0</v>
      </c>
      <c r="D11" s="17" t="s">
        <v>27</v>
      </c>
      <c r="E11" s="18" t="s">
        <v>13</v>
      </c>
      <c r="F11" s="18" t="s">
        <v>14</v>
      </c>
      <c r="G11" s="18" t="s">
        <v>15</v>
      </c>
      <c r="I11" s="52"/>
      <c r="J11" s="53"/>
      <c r="K11" s="321"/>
      <c r="L11" s="189"/>
      <c r="M11" s="189"/>
      <c r="N11" s="42"/>
    </row>
    <row r="12">
      <c r="A12" s="14"/>
      <c r="B12" s="25" t="s">
        <v>25</v>
      </c>
      <c r="C12" s="26">
        <v>7.0</v>
      </c>
      <c r="D12" s="17" t="s">
        <v>12</v>
      </c>
      <c r="E12" s="19" t="s">
        <v>46</v>
      </c>
      <c r="F12" s="18" t="s">
        <v>26</v>
      </c>
      <c r="G12" s="19" t="s">
        <v>24</v>
      </c>
      <c r="I12" s="27" t="s">
        <v>25</v>
      </c>
      <c r="J12" s="46">
        <v>7.0</v>
      </c>
      <c r="K12" s="44" t="s">
        <v>27</v>
      </c>
      <c r="L12" s="30" t="s">
        <v>30</v>
      </c>
      <c r="M12" s="47" t="s">
        <v>34</v>
      </c>
      <c r="N12" s="31" t="s">
        <v>15</v>
      </c>
    </row>
    <row r="13">
      <c r="A13" s="14"/>
      <c r="B13" s="23"/>
      <c r="C13" s="23"/>
      <c r="D13" s="17" t="s">
        <v>16</v>
      </c>
      <c r="E13" s="19" t="s">
        <v>46</v>
      </c>
      <c r="F13" s="18" t="s">
        <v>26</v>
      </c>
      <c r="G13" s="19" t="s">
        <v>24</v>
      </c>
      <c r="I13" s="32"/>
      <c r="J13" s="45"/>
      <c r="K13" s="45"/>
      <c r="L13" s="30"/>
      <c r="M13" s="35"/>
      <c r="N13" s="299"/>
    </row>
    <row r="14">
      <c r="A14" s="14"/>
      <c r="B14" s="25" t="s">
        <v>29</v>
      </c>
      <c r="C14" s="26">
        <v>8.0</v>
      </c>
      <c r="D14" s="17" t="s">
        <v>12</v>
      </c>
      <c r="E14" s="18" t="s">
        <v>30</v>
      </c>
      <c r="F14" s="18" t="s">
        <v>34</v>
      </c>
      <c r="G14" s="19" t="s">
        <v>19</v>
      </c>
      <c r="I14" s="215"/>
      <c r="J14" s="216"/>
      <c r="K14" s="316"/>
      <c r="L14" s="189"/>
      <c r="M14" s="189"/>
      <c r="N14" s="42"/>
    </row>
    <row r="15">
      <c r="A15" s="14"/>
      <c r="B15" s="23"/>
      <c r="C15" s="23"/>
      <c r="D15" s="17" t="s">
        <v>16</v>
      </c>
      <c r="E15" s="18" t="s">
        <v>30</v>
      </c>
      <c r="F15" s="18" t="s">
        <v>34</v>
      </c>
      <c r="G15" s="19" t="s">
        <v>19</v>
      </c>
      <c r="I15" s="37"/>
      <c r="J15" s="38"/>
      <c r="K15" s="342"/>
      <c r="L15" s="189"/>
      <c r="M15" s="189"/>
      <c r="N15" s="42"/>
    </row>
    <row r="16">
      <c r="A16" s="14"/>
      <c r="B16" s="25" t="s">
        <v>31</v>
      </c>
      <c r="C16" s="26">
        <v>9.0</v>
      </c>
      <c r="D16" s="17" t="s">
        <v>12</v>
      </c>
      <c r="E16" s="19" t="s">
        <v>22</v>
      </c>
      <c r="F16" s="18" t="s">
        <v>35</v>
      </c>
      <c r="G16" s="19" t="s">
        <v>15</v>
      </c>
      <c r="I16" s="218" t="s">
        <v>31</v>
      </c>
      <c r="J16" s="43">
        <v>9.0</v>
      </c>
      <c r="K16" s="44" t="s">
        <v>200</v>
      </c>
      <c r="L16" s="30" t="s">
        <v>30</v>
      </c>
      <c r="M16" s="30" t="s">
        <v>34</v>
      </c>
      <c r="N16" s="31" t="s">
        <v>50</v>
      </c>
    </row>
    <row r="17">
      <c r="A17" s="14"/>
      <c r="B17" s="23"/>
      <c r="C17" s="23"/>
      <c r="D17" s="17" t="s">
        <v>16</v>
      </c>
      <c r="E17" s="19" t="s">
        <v>22</v>
      </c>
      <c r="F17" s="18" t="s">
        <v>35</v>
      </c>
      <c r="G17" s="19" t="s">
        <v>15</v>
      </c>
      <c r="I17" s="207"/>
      <c r="J17" s="34"/>
      <c r="K17" s="45"/>
      <c r="L17" s="30"/>
      <c r="M17" s="35"/>
      <c r="N17" s="36"/>
    </row>
    <row r="18">
      <c r="A18" s="14"/>
      <c r="B18" s="191" t="s">
        <v>11</v>
      </c>
      <c r="C18" s="192">
        <v>10.0</v>
      </c>
      <c r="D18" s="17" t="s">
        <v>27</v>
      </c>
      <c r="E18" s="18" t="s">
        <v>30</v>
      </c>
      <c r="F18" s="19" t="s">
        <v>14</v>
      </c>
      <c r="G18" s="18" t="s">
        <v>15</v>
      </c>
      <c r="I18" s="49"/>
      <c r="J18" s="216"/>
      <c r="K18" s="316"/>
      <c r="L18" s="189"/>
      <c r="M18" s="35"/>
      <c r="N18" s="42"/>
    </row>
    <row r="19">
      <c r="A19" s="14"/>
      <c r="B19" s="191" t="s">
        <v>17</v>
      </c>
      <c r="C19" s="192">
        <v>11.0</v>
      </c>
      <c r="D19" s="17" t="s">
        <v>27</v>
      </c>
      <c r="E19" s="18" t="s">
        <v>22</v>
      </c>
      <c r="F19" s="18" t="s">
        <v>14</v>
      </c>
      <c r="G19" s="19" t="s">
        <v>19</v>
      </c>
      <c r="I19" s="49"/>
      <c r="J19" s="50"/>
      <c r="K19" s="317"/>
      <c r="L19" s="189"/>
      <c r="M19" s="189"/>
      <c r="N19" s="42"/>
    </row>
    <row r="20">
      <c r="A20" s="14"/>
      <c r="B20" s="191" t="s">
        <v>21</v>
      </c>
      <c r="C20" s="192">
        <v>12.0</v>
      </c>
      <c r="D20" s="17" t="s">
        <v>27</v>
      </c>
      <c r="E20" s="18" t="s">
        <v>13</v>
      </c>
      <c r="F20" s="18" t="s">
        <v>26</v>
      </c>
      <c r="G20" s="18" t="s">
        <v>15</v>
      </c>
      <c r="I20" s="49"/>
      <c r="J20" s="50"/>
      <c r="K20" s="321"/>
      <c r="L20" s="189"/>
      <c r="M20" s="189"/>
      <c r="N20" s="42"/>
    </row>
    <row r="21">
      <c r="A21" s="14"/>
      <c r="B21" s="191" t="s">
        <v>23</v>
      </c>
      <c r="C21" s="192">
        <v>13.0</v>
      </c>
      <c r="D21" s="17" t="s">
        <v>27</v>
      </c>
      <c r="E21" s="18" t="s">
        <v>22</v>
      </c>
      <c r="F21" s="18" t="s">
        <v>14</v>
      </c>
      <c r="G21" s="19" t="s">
        <v>15</v>
      </c>
      <c r="I21" s="52"/>
      <c r="J21" s="337"/>
      <c r="K21" s="189"/>
      <c r="L21" s="189"/>
      <c r="M21" s="189"/>
      <c r="N21" s="42"/>
    </row>
    <row r="22">
      <c r="A22" s="14"/>
      <c r="B22" s="25" t="s">
        <v>25</v>
      </c>
      <c r="C22" s="26">
        <v>14.0</v>
      </c>
      <c r="D22" s="17" t="s">
        <v>12</v>
      </c>
      <c r="E22" s="18" t="s">
        <v>22</v>
      </c>
      <c r="F22" s="18" t="s">
        <v>26</v>
      </c>
      <c r="G22" s="18" t="s">
        <v>15</v>
      </c>
      <c r="I22" s="27" t="s">
        <v>25</v>
      </c>
      <c r="J22" s="46">
        <v>14.0</v>
      </c>
      <c r="K22" s="318" t="s">
        <v>27</v>
      </c>
      <c r="L22" s="30" t="s">
        <v>30</v>
      </c>
      <c r="M22" s="30" t="s">
        <v>34</v>
      </c>
      <c r="N22" s="31" t="s">
        <v>19</v>
      </c>
    </row>
    <row r="23">
      <c r="A23" s="14"/>
      <c r="B23" s="23"/>
      <c r="C23" s="23"/>
      <c r="D23" s="17" t="s">
        <v>16</v>
      </c>
      <c r="E23" s="18" t="s">
        <v>22</v>
      </c>
      <c r="F23" s="18" t="s">
        <v>26</v>
      </c>
      <c r="G23" s="18" t="s">
        <v>15</v>
      </c>
      <c r="I23" s="32"/>
      <c r="J23" s="45"/>
      <c r="L23" s="30" t="s">
        <v>13</v>
      </c>
      <c r="M23" s="35"/>
      <c r="N23" s="36"/>
    </row>
    <row r="24">
      <c r="A24" s="14"/>
      <c r="B24" s="25" t="s">
        <v>29</v>
      </c>
      <c r="C24" s="26">
        <v>15.0</v>
      </c>
      <c r="D24" s="17" t="s">
        <v>12</v>
      </c>
      <c r="E24" s="18" t="s">
        <v>201</v>
      </c>
      <c r="F24" s="18" t="s">
        <v>34</v>
      </c>
      <c r="G24" s="18" t="s">
        <v>19</v>
      </c>
      <c r="I24" s="20"/>
      <c r="J24" s="21"/>
      <c r="K24" s="189"/>
      <c r="L24" s="189"/>
      <c r="M24" s="35"/>
      <c r="N24" s="42"/>
    </row>
    <row r="25">
      <c r="A25" s="14"/>
      <c r="B25" s="24"/>
      <c r="C25" s="24"/>
      <c r="D25" s="343" t="s">
        <v>16</v>
      </c>
      <c r="E25" s="344" t="s">
        <v>201</v>
      </c>
      <c r="F25" s="344" t="s">
        <v>34</v>
      </c>
      <c r="G25" s="344" t="s">
        <v>19</v>
      </c>
      <c r="I25" s="27" t="s">
        <v>29</v>
      </c>
      <c r="J25" s="46">
        <v>15.0</v>
      </c>
      <c r="K25" s="44" t="s">
        <v>225</v>
      </c>
      <c r="L25" s="30" t="s">
        <v>13</v>
      </c>
      <c r="M25" s="30" t="s">
        <v>26</v>
      </c>
      <c r="N25" s="31" t="s">
        <v>15</v>
      </c>
    </row>
    <row r="26">
      <c r="A26" s="14"/>
      <c r="B26" s="23"/>
      <c r="C26" s="23"/>
      <c r="D26" s="345"/>
      <c r="E26" s="346"/>
      <c r="F26" s="346"/>
      <c r="G26" s="346"/>
      <c r="I26" s="32"/>
      <c r="J26" s="45"/>
      <c r="K26" s="45"/>
      <c r="L26" s="30" t="s">
        <v>22</v>
      </c>
      <c r="M26" s="189"/>
      <c r="N26" s="299"/>
    </row>
    <row r="27">
      <c r="A27" s="14"/>
      <c r="B27" s="25" t="s">
        <v>31</v>
      </c>
      <c r="C27" s="26">
        <v>16.0</v>
      </c>
      <c r="D27" s="17" t="s">
        <v>12</v>
      </c>
      <c r="E27" s="18" t="s">
        <v>22</v>
      </c>
      <c r="F27" s="18" t="s">
        <v>26</v>
      </c>
      <c r="G27" s="19" t="s">
        <v>15</v>
      </c>
      <c r="I27" s="27" t="s">
        <v>31</v>
      </c>
      <c r="J27" s="46">
        <v>16.0</v>
      </c>
      <c r="K27" s="44" t="s">
        <v>200</v>
      </c>
      <c r="L27" s="30" t="s">
        <v>13</v>
      </c>
      <c r="M27" s="30" t="s">
        <v>14</v>
      </c>
      <c r="N27" s="31" t="s">
        <v>50</v>
      </c>
    </row>
    <row r="28">
      <c r="A28" s="14"/>
      <c r="B28" s="23"/>
      <c r="C28" s="23"/>
      <c r="D28" s="17" t="s">
        <v>16</v>
      </c>
      <c r="E28" s="18" t="s">
        <v>22</v>
      </c>
      <c r="F28" s="18" t="s">
        <v>26</v>
      </c>
      <c r="G28" s="19" t="s">
        <v>15</v>
      </c>
      <c r="I28" s="32"/>
      <c r="J28" s="45"/>
      <c r="K28" s="45"/>
      <c r="L28" s="30"/>
      <c r="M28" s="35"/>
      <c r="N28" s="36"/>
    </row>
    <row r="29">
      <c r="A29" s="14"/>
      <c r="B29" s="191" t="s">
        <v>11</v>
      </c>
      <c r="C29" s="192">
        <v>17.0</v>
      </c>
      <c r="D29" s="17" t="s">
        <v>27</v>
      </c>
      <c r="E29" s="18" t="s">
        <v>22</v>
      </c>
      <c r="F29" s="18" t="s">
        <v>35</v>
      </c>
      <c r="G29" s="18" t="s">
        <v>19</v>
      </c>
      <c r="I29" s="20"/>
      <c r="J29" s="21"/>
      <c r="K29" s="189"/>
      <c r="L29" s="189"/>
      <c r="M29" s="35"/>
      <c r="N29" s="42"/>
    </row>
    <row r="30">
      <c r="A30" s="14"/>
      <c r="B30" s="191" t="s">
        <v>17</v>
      </c>
      <c r="C30" s="192">
        <v>18.0</v>
      </c>
      <c r="D30" s="17" t="s">
        <v>27</v>
      </c>
      <c r="E30" s="18" t="s">
        <v>30</v>
      </c>
      <c r="F30" s="19" t="s">
        <v>26</v>
      </c>
      <c r="G30" s="19" t="s">
        <v>19</v>
      </c>
      <c r="I30" s="20"/>
      <c r="J30" s="21"/>
      <c r="K30" s="189"/>
      <c r="L30" s="189"/>
      <c r="M30" s="189"/>
      <c r="N30" s="190"/>
    </row>
    <row r="31">
      <c r="A31" s="14"/>
      <c r="B31" s="191" t="s">
        <v>21</v>
      </c>
      <c r="C31" s="192">
        <v>19.0</v>
      </c>
      <c r="D31" s="17" t="s">
        <v>27</v>
      </c>
      <c r="E31" s="18" t="s">
        <v>30</v>
      </c>
      <c r="F31" s="18" t="s">
        <v>26</v>
      </c>
      <c r="G31" s="18" t="s">
        <v>19</v>
      </c>
      <c r="I31" s="20"/>
      <c r="J31" s="21"/>
      <c r="K31" s="189"/>
      <c r="L31" s="189"/>
      <c r="M31" s="189"/>
      <c r="N31" s="190"/>
    </row>
    <row r="32">
      <c r="A32" s="14"/>
      <c r="B32" s="191" t="s">
        <v>23</v>
      </c>
      <c r="C32" s="192">
        <v>20.0</v>
      </c>
      <c r="D32" s="17" t="s">
        <v>27</v>
      </c>
      <c r="E32" s="18" t="s">
        <v>13</v>
      </c>
      <c r="F32" s="18" t="s">
        <v>14</v>
      </c>
      <c r="G32" s="18" t="s">
        <v>15</v>
      </c>
      <c r="I32" s="20"/>
      <c r="J32" s="21"/>
      <c r="K32" s="189"/>
      <c r="L32" s="189"/>
      <c r="M32" s="189"/>
      <c r="N32" s="190"/>
    </row>
    <row r="33">
      <c r="A33" s="14"/>
      <c r="B33" s="25" t="s">
        <v>25</v>
      </c>
      <c r="C33" s="26">
        <v>21.0</v>
      </c>
      <c r="D33" s="17" t="s">
        <v>12</v>
      </c>
      <c r="E33" s="18" t="s">
        <v>44</v>
      </c>
      <c r="F33" s="18" t="s">
        <v>35</v>
      </c>
      <c r="G33" s="18" t="s">
        <v>15</v>
      </c>
      <c r="I33" s="27" t="s">
        <v>25</v>
      </c>
      <c r="J33" s="46">
        <v>21.0</v>
      </c>
      <c r="K33" s="318" t="s">
        <v>27</v>
      </c>
      <c r="L33" s="30" t="s">
        <v>13</v>
      </c>
      <c r="M33" s="47" t="s">
        <v>26</v>
      </c>
      <c r="N33" s="31" t="s">
        <v>19</v>
      </c>
    </row>
    <row r="34">
      <c r="A34" s="14"/>
      <c r="B34" s="23"/>
      <c r="C34" s="23"/>
      <c r="D34" s="17" t="s">
        <v>16</v>
      </c>
      <c r="E34" s="18" t="s">
        <v>44</v>
      </c>
      <c r="F34" s="18" t="s">
        <v>35</v>
      </c>
      <c r="G34" s="18" t="s">
        <v>15</v>
      </c>
      <c r="I34" s="32"/>
      <c r="J34" s="45"/>
      <c r="L34" s="30" t="s">
        <v>30</v>
      </c>
      <c r="M34" s="35"/>
      <c r="N34" s="36"/>
    </row>
    <row r="35">
      <c r="A35" s="14"/>
      <c r="B35" s="25" t="s">
        <v>29</v>
      </c>
      <c r="C35" s="26">
        <v>22.0</v>
      </c>
      <c r="D35" s="17" t="s">
        <v>12</v>
      </c>
      <c r="E35" s="18" t="s">
        <v>13</v>
      </c>
      <c r="F35" s="19" t="s">
        <v>34</v>
      </c>
      <c r="G35" s="18" t="s">
        <v>19</v>
      </c>
      <c r="I35" s="20"/>
      <c r="J35" s="21"/>
      <c r="K35" s="189"/>
      <c r="L35" s="189"/>
      <c r="M35" s="35"/>
      <c r="N35" s="42"/>
    </row>
    <row r="36">
      <c r="A36" s="14"/>
      <c r="B36" s="23"/>
      <c r="C36" s="23"/>
      <c r="D36" s="17" t="s">
        <v>16</v>
      </c>
      <c r="E36" s="18" t="s">
        <v>13</v>
      </c>
      <c r="F36" s="19" t="s">
        <v>34</v>
      </c>
      <c r="G36" s="18" t="s">
        <v>19</v>
      </c>
      <c r="I36" s="20"/>
      <c r="J36" s="21"/>
      <c r="K36" s="189"/>
      <c r="L36" s="189"/>
      <c r="M36" s="189"/>
      <c r="N36" s="190"/>
    </row>
    <row r="37">
      <c r="A37" s="14"/>
      <c r="B37" s="25" t="s">
        <v>31</v>
      </c>
      <c r="C37" s="26">
        <v>23.0</v>
      </c>
      <c r="D37" s="17" t="s">
        <v>12</v>
      </c>
      <c r="E37" s="18" t="s">
        <v>30</v>
      </c>
      <c r="F37" s="18" t="s">
        <v>35</v>
      </c>
      <c r="G37" s="18" t="s">
        <v>15</v>
      </c>
      <c r="I37" s="27" t="s">
        <v>31</v>
      </c>
      <c r="J37" s="46">
        <v>23.0</v>
      </c>
      <c r="K37" s="44" t="s">
        <v>200</v>
      </c>
      <c r="L37" s="30" t="s">
        <v>22</v>
      </c>
      <c r="M37" s="30" t="s">
        <v>34</v>
      </c>
      <c r="N37" s="31" t="s">
        <v>50</v>
      </c>
    </row>
    <row r="38">
      <c r="A38" s="14"/>
      <c r="B38" s="23"/>
      <c r="C38" s="23"/>
      <c r="D38" s="17" t="s">
        <v>16</v>
      </c>
      <c r="E38" s="18" t="s">
        <v>30</v>
      </c>
      <c r="F38" s="18" t="s">
        <v>35</v>
      </c>
      <c r="G38" s="18" t="s">
        <v>15</v>
      </c>
      <c r="I38" s="32"/>
      <c r="J38" s="45"/>
      <c r="K38" s="45"/>
      <c r="L38" s="30"/>
      <c r="M38" s="35"/>
      <c r="N38" s="36"/>
    </row>
    <row r="39">
      <c r="A39" s="14"/>
      <c r="B39" s="191" t="s">
        <v>11</v>
      </c>
      <c r="C39" s="192">
        <v>24.0</v>
      </c>
      <c r="D39" s="17" t="s">
        <v>27</v>
      </c>
      <c r="E39" s="18" t="s">
        <v>30</v>
      </c>
      <c r="F39" s="19" t="s">
        <v>14</v>
      </c>
      <c r="G39" s="18" t="s">
        <v>15</v>
      </c>
      <c r="I39" s="20"/>
      <c r="J39" s="21"/>
      <c r="K39" s="189"/>
      <c r="L39" s="189"/>
      <c r="M39" s="35"/>
      <c r="N39" s="42"/>
    </row>
    <row r="40">
      <c r="A40" s="14"/>
      <c r="B40" s="191" t="s">
        <v>17</v>
      </c>
      <c r="C40" s="192">
        <v>25.0</v>
      </c>
      <c r="D40" s="17" t="s">
        <v>27</v>
      </c>
      <c r="E40" s="18" t="s">
        <v>30</v>
      </c>
      <c r="F40" s="18" t="s">
        <v>14</v>
      </c>
      <c r="G40" s="19" t="s">
        <v>50</v>
      </c>
      <c r="I40" s="20"/>
      <c r="J40" s="21"/>
      <c r="K40" s="189"/>
      <c r="L40" s="189"/>
      <c r="M40" s="189"/>
      <c r="N40" s="190"/>
    </row>
    <row r="41">
      <c r="A41" s="14"/>
      <c r="B41" s="191" t="s">
        <v>21</v>
      </c>
      <c r="C41" s="192">
        <v>26.0</v>
      </c>
      <c r="D41" s="17" t="s">
        <v>27</v>
      </c>
      <c r="E41" s="18" t="s">
        <v>13</v>
      </c>
      <c r="F41" s="18" t="s">
        <v>26</v>
      </c>
      <c r="G41" s="18" t="s">
        <v>19</v>
      </c>
      <c r="I41" s="49"/>
      <c r="J41" s="50"/>
      <c r="K41" s="317"/>
      <c r="L41" s="189"/>
      <c r="M41" s="189"/>
      <c r="N41" s="42"/>
    </row>
    <row r="42">
      <c r="A42" s="14"/>
      <c r="B42" s="191" t="s">
        <v>23</v>
      </c>
      <c r="C42" s="192">
        <v>27.0</v>
      </c>
      <c r="D42" s="17" t="s">
        <v>27</v>
      </c>
      <c r="E42" s="18" t="s">
        <v>13</v>
      </c>
      <c r="F42" s="18" t="s">
        <v>14</v>
      </c>
      <c r="G42" s="18" t="s">
        <v>15</v>
      </c>
      <c r="I42" s="52"/>
      <c r="J42" s="53"/>
      <c r="K42" s="321"/>
      <c r="L42" s="189"/>
      <c r="M42" s="189"/>
      <c r="N42" s="42"/>
    </row>
    <row r="43">
      <c r="A43" s="14"/>
      <c r="B43" s="25" t="s">
        <v>25</v>
      </c>
      <c r="C43" s="26">
        <v>28.0</v>
      </c>
      <c r="D43" s="17" t="s">
        <v>12</v>
      </c>
      <c r="E43" s="18" t="s">
        <v>44</v>
      </c>
      <c r="F43" s="18" t="s">
        <v>18</v>
      </c>
      <c r="G43" s="18" t="s">
        <v>15</v>
      </c>
      <c r="I43" s="27" t="s">
        <v>25</v>
      </c>
      <c r="J43" s="46">
        <v>28.0</v>
      </c>
      <c r="K43" s="318" t="s">
        <v>27</v>
      </c>
      <c r="L43" s="30" t="s">
        <v>22</v>
      </c>
      <c r="M43" s="47" t="s">
        <v>26</v>
      </c>
      <c r="N43" s="31" t="s">
        <v>19</v>
      </c>
    </row>
    <row r="44">
      <c r="A44" s="14"/>
      <c r="B44" s="23"/>
      <c r="C44" s="23"/>
      <c r="D44" s="17" t="s">
        <v>16</v>
      </c>
      <c r="E44" s="18" t="s">
        <v>44</v>
      </c>
      <c r="F44" s="18" t="s">
        <v>18</v>
      </c>
      <c r="G44" s="18" t="s">
        <v>15</v>
      </c>
      <c r="I44" s="32"/>
      <c r="J44" s="45"/>
      <c r="L44" s="35"/>
      <c r="M44" s="35"/>
      <c r="N44" s="36"/>
    </row>
    <row r="45">
      <c r="A45" s="14"/>
      <c r="B45" s="25" t="s">
        <v>29</v>
      </c>
      <c r="C45" s="26">
        <v>29.0</v>
      </c>
      <c r="D45" s="17" t="s">
        <v>12</v>
      </c>
      <c r="E45" s="18" t="s">
        <v>30</v>
      </c>
      <c r="F45" s="18" t="s">
        <v>34</v>
      </c>
      <c r="G45" s="19" t="s">
        <v>19</v>
      </c>
      <c r="I45" s="20"/>
      <c r="J45" s="21"/>
      <c r="K45" s="21"/>
      <c r="L45" s="21"/>
      <c r="M45" s="320"/>
      <c r="N45" s="221"/>
    </row>
    <row r="46">
      <c r="A46" s="14"/>
      <c r="B46" s="23"/>
      <c r="C46" s="23"/>
      <c r="D46" s="17" t="s">
        <v>16</v>
      </c>
      <c r="E46" s="18" t="s">
        <v>30</v>
      </c>
      <c r="F46" s="18" t="s">
        <v>34</v>
      </c>
      <c r="G46" s="19" t="s">
        <v>19</v>
      </c>
      <c r="I46" s="20"/>
      <c r="J46" s="21"/>
      <c r="K46" s="21"/>
      <c r="L46" s="21"/>
      <c r="M46" s="21"/>
      <c r="N46" s="22"/>
    </row>
    <row r="47">
      <c r="A47" s="14"/>
      <c r="B47" s="25" t="s">
        <v>31</v>
      </c>
      <c r="C47" s="341">
        <v>30.0</v>
      </c>
      <c r="D47" s="17" t="s">
        <v>16</v>
      </c>
      <c r="E47" s="18" t="s">
        <v>22</v>
      </c>
      <c r="F47" s="18" t="s">
        <v>26</v>
      </c>
      <c r="G47" s="19" t="s">
        <v>24</v>
      </c>
      <c r="I47" s="27" t="s">
        <v>31</v>
      </c>
      <c r="J47" s="46">
        <v>30.0</v>
      </c>
      <c r="K47" s="44" t="s">
        <v>200</v>
      </c>
      <c r="L47" s="30" t="s">
        <v>30</v>
      </c>
      <c r="M47" s="30" t="s">
        <v>14</v>
      </c>
      <c r="N47" s="31" t="s">
        <v>19</v>
      </c>
    </row>
    <row r="48">
      <c r="A48" s="14"/>
      <c r="B48" s="23"/>
      <c r="C48" s="23"/>
      <c r="D48" s="17" t="s">
        <v>12</v>
      </c>
      <c r="E48" s="18" t="s">
        <v>22</v>
      </c>
      <c r="F48" s="18" t="s">
        <v>26</v>
      </c>
      <c r="G48" s="19" t="s">
        <v>24</v>
      </c>
      <c r="I48" s="32"/>
      <c r="J48" s="45"/>
      <c r="K48" s="45"/>
      <c r="L48" s="35"/>
      <c r="M48" s="35"/>
      <c r="N48" s="36"/>
    </row>
    <row r="49">
      <c r="A49" s="14"/>
      <c r="B49" s="191"/>
      <c r="C49" s="192"/>
      <c r="D49" s="17"/>
      <c r="E49" s="18"/>
      <c r="F49" s="193"/>
      <c r="G49" s="193"/>
      <c r="I49" s="20"/>
      <c r="J49" s="21"/>
      <c r="K49" s="21"/>
      <c r="L49" s="21"/>
      <c r="M49" s="21"/>
      <c r="N49" s="22"/>
    </row>
    <row r="50">
      <c r="E50" s="63">
        <f>COUNTIF(E4:E49, "Mira") + Countif(E4:E49, "Tuna")+ Countif(E4:E49, "Gustavo")+ Countif(E4:E49, "Pablo")+ Countif(E4:E49, "Tavares")+ Countif(E4:E49, "Sobral") + Countif(E4:E49, "Pipo")+ Countif(E4:E49, "Enfermagem")+ Countif(E4:E49, "Literatus")+ Countif(E4:E49, "Medicina") + Countif(E4:E49, "Tomás")</f>
        <v>44</v>
      </c>
      <c r="F50" s="63">
        <f>Countif(F4:F49, "Gift") + Countif(F4:F49, "Monte") + Countif(F4:F49, "Sorte") + Countif(F4:F49, "Afonso") + Countif(F4:F49, "Geni") + Countif(F4:F49, "JP")</f>
        <v>44</v>
      </c>
      <c r="G50" s="63">
        <f>COUNTIF(G4:G49, "Apostas") + COUNTIF(G4:G49, "Prodígio") + COUNTIF(G4:G49, "Poço") + COUNTIF(G4:G49, "Pedro")</f>
        <v>44</v>
      </c>
      <c r="I50" s="60"/>
      <c r="J50" s="61"/>
      <c r="K50" s="61"/>
      <c r="L50" s="61"/>
      <c r="M50" s="61"/>
      <c r="N50" s="62"/>
    </row>
    <row r="51">
      <c r="L51" s="64">
        <f>COUNTIF(L4:L50, "Mira") + Countif(L4:L50, "Tuna")+ Countif(L4:L50, "Gustavo")+ Countif(L4:L50, "Pablo")+ Countif(L4:L50, "Tavares")+ Countif(L4:L50, "Sobral") + Countif(L4:L50, "Pipo")+ Countif(L4:L50, "Enfermagem")+ Countif(L4:L50, "Literatus")+ Countif(L4:L50, "Medicina") + Countif(L4:L49, "Tomás")</f>
        <v>13</v>
      </c>
      <c r="M51" s="64">
        <f>Countif(M4:M47, "Gift") + Countif(M4:M47, "Monte") + Countif(M4:M47, "Sorte") + Countif(M4:M47, "Afonso") + Countif(M4:M47, "Geni") + Countif(M4:M47, "JP")</f>
        <v>10</v>
      </c>
      <c r="N51" s="64">
        <f>Countif(N4:N47, "Apostas") + Countif(N4:N47, "Prodígio") + Countif(N4:N47, "Poço")</f>
        <v>10</v>
      </c>
    </row>
    <row r="55" ht="22.5" customHeight="1">
      <c r="D55" s="65" t="s">
        <v>36</v>
      </c>
      <c r="E55" s="65" t="s">
        <v>37</v>
      </c>
      <c r="F55" s="65" t="s">
        <v>38</v>
      </c>
      <c r="G55" s="66" t="s">
        <v>39</v>
      </c>
      <c r="H55" s="67" t="s">
        <v>40</v>
      </c>
      <c r="K55" s="65" t="s">
        <v>36</v>
      </c>
      <c r="L55" s="65" t="s">
        <v>37</v>
      </c>
      <c r="M55" s="65" t="s">
        <v>38</v>
      </c>
      <c r="N55" s="66" t="s">
        <v>39</v>
      </c>
      <c r="O55" s="67" t="s">
        <v>40</v>
      </c>
      <c r="R55" s="68" t="s">
        <v>41</v>
      </c>
    </row>
    <row r="56" ht="22.5" customHeight="1">
      <c r="C56" s="69" t="s">
        <v>42</v>
      </c>
      <c r="D56" s="70" t="s">
        <v>22</v>
      </c>
      <c r="E56" s="71">
        <f>COUNTIF(E3:E49,"Tuna")</f>
        <v>11</v>
      </c>
      <c r="F56" s="72">
        <f t="shared" ref="F56:F72" si="2">((60/3)*E56)</f>
        <v>220</v>
      </c>
      <c r="G56" s="73">
        <f>E50</f>
        <v>44</v>
      </c>
      <c r="H56" s="74">
        <f>SUM(F56:F62)</f>
        <v>880</v>
      </c>
      <c r="J56" s="69" t="s">
        <v>42</v>
      </c>
      <c r="K56" s="70" t="s">
        <v>22</v>
      </c>
      <c r="L56" s="71">
        <f>COUNTIF(L1:L47,"Tuna")</f>
        <v>3</v>
      </c>
      <c r="M56" s="72">
        <f t="shared" ref="M56:M71" si="3">((75/3)*L56)</f>
        <v>75</v>
      </c>
      <c r="N56" s="73">
        <f t="shared" ref="N56:O56" si="1">SUM(L56:L62)</f>
        <v>13</v>
      </c>
      <c r="O56" s="74">
        <f t="shared" si="1"/>
        <v>325</v>
      </c>
      <c r="Q56" s="75" t="s">
        <v>22</v>
      </c>
      <c r="R56" s="76">
        <f t="shared" ref="R56:R72" si="4">SUM(F56,M56)</f>
        <v>295</v>
      </c>
    </row>
    <row r="57" ht="22.5" customHeight="1">
      <c r="C57" s="77"/>
      <c r="D57" s="78" t="s">
        <v>30</v>
      </c>
      <c r="E57" s="79">
        <f>COUNTIF(E3:E49,"Mira")</f>
        <v>15</v>
      </c>
      <c r="F57" s="80">
        <f t="shared" si="2"/>
        <v>300</v>
      </c>
      <c r="G57" s="81"/>
      <c r="H57" s="82"/>
      <c r="J57" s="77"/>
      <c r="K57" s="78" t="s">
        <v>30</v>
      </c>
      <c r="L57" s="79">
        <f>COUNTIF(L1:L47,"Mira")</f>
        <v>5</v>
      </c>
      <c r="M57" s="80">
        <f t="shared" si="3"/>
        <v>125</v>
      </c>
      <c r="N57" s="81"/>
      <c r="O57" s="82"/>
      <c r="Q57" s="83" t="s">
        <v>30</v>
      </c>
      <c r="R57" s="76">
        <f t="shared" si="4"/>
        <v>425</v>
      </c>
    </row>
    <row r="58" ht="22.5" customHeight="1">
      <c r="C58" s="77"/>
      <c r="D58" s="78" t="s">
        <v>13</v>
      </c>
      <c r="E58" s="79">
        <f>COUNTIF(E3:E49,"Pipo")</f>
        <v>10</v>
      </c>
      <c r="F58" s="80">
        <f t="shared" si="2"/>
        <v>200</v>
      </c>
      <c r="G58" s="81"/>
      <c r="H58" s="82"/>
      <c r="J58" s="77"/>
      <c r="K58" s="78" t="s">
        <v>13</v>
      </c>
      <c r="L58" s="79">
        <f>COUNTIF(L1:L47,"Pipo")</f>
        <v>5</v>
      </c>
      <c r="M58" s="84">
        <f t="shared" si="3"/>
        <v>125</v>
      </c>
      <c r="N58" s="81"/>
      <c r="O58" s="82"/>
      <c r="Q58" s="83" t="s">
        <v>13</v>
      </c>
      <c r="R58" s="76">
        <f t="shared" si="4"/>
        <v>325</v>
      </c>
    </row>
    <row r="59" ht="22.5" customHeight="1">
      <c r="C59" s="77"/>
      <c r="D59" s="78" t="s">
        <v>43</v>
      </c>
      <c r="E59" s="79">
        <f>COUNTIF(E3:E49,"Pablo")</f>
        <v>0</v>
      </c>
      <c r="F59" s="84">
        <f t="shared" si="2"/>
        <v>0</v>
      </c>
      <c r="G59" s="81"/>
      <c r="H59" s="82"/>
      <c r="J59" s="77"/>
      <c r="K59" s="78" t="s">
        <v>43</v>
      </c>
      <c r="L59" s="79">
        <f>COUNTIF(L1:L47,"Pablo")</f>
        <v>0</v>
      </c>
      <c r="M59" s="84">
        <f t="shared" si="3"/>
        <v>0</v>
      </c>
      <c r="N59" s="81"/>
      <c r="O59" s="82"/>
      <c r="Q59" s="83" t="s">
        <v>43</v>
      </c>
      <c r="R59" s="76">
        <f t="shared" si="4"/>
        <v>0</v>
      </c>
    </row>
    <row r="60" ht="22.5" customHeight="1">
      <c r="C60" s="77"/>
      <c r="D60" s="78" t="s">
        <v>44</v>
      </c>
      <c r="E60" s="79">
        <f>COUNTIF(E3:E49,"Tavares")</f>
        <v>4</v>
      </c>
      <c r="F60" s="84">
        <f t="shared" si="2"/>
        <v>80</v>
      </c>
      <c r="G60" s="81"/>
      <c r="H60" s="82"/>
      <c r="J60" s="77"/>
      <c r="K60" s="78" t="s">
        <v>44</v>
      </c>
      <c r="L60" s="79">
        <f>COUNTIF(L1:L47,"Tavares")</f>
        <v>0</v>
      </c>
      <c r="M60" s="84">
        <f t="shared" si="3"/>
        <v>0</v>
      </c>
      <c r="N60" s="81"/>
      <c r="O60" s="82"/>
      <c r="Q60" s="83" t="s">
        <v>44</v>
      </c>
      <c r="R60" s="76">
        <f t="shared" si="4"/>
        <v>80</v>
      </c>
    </row>
    <row r="61" ht="22.5" customHeight="1">
      <c r="C61" s="77"/>
      <c r="D61" s="78" t="s">
        <v>201</v>
      </c>
      <c r="E61" s="79">
        <f>COUNTIF(E3:E49,"Gustavo")</f>
        <v>2</v>
      </c>
      <c r="F61" s="84">
        <f t="shared" si="2"/>
        <v>40</v>
      </c>
      <c r="G61" s="81"/>
      <c r="H61" s="82"/>
      <c r="J61" s="77"/>
      <c r="K61" s="78" t="s">
        <v>201</v>
      </c>
      <c r="L61" s="79">
        <f>COUNTIF(L4:L52,"Gustavo")</f>
        <v>0</v>
      </c>
      <c r="M61" s="84">
        <f t="shared" si="3"/>
        <v>0</v>
      </c>
      <c r="N61" s="81"/>
      <c r="O61" s="82"/>
      <c r="Q61" s="83" t="s">
        <v>201</v>
      </c>
      <c r="R61" s="76">
        <f t="shared" si="4"/>
        <v>40</v>
      </c>
    </row>
    <row r="62" ht="22.5" customHeight="1">
      <c r="C62" s="91"/>
      <c r="D62" s="92" t="s">
        <v>46</v>
      </c>
      <c r="E62" s="93">
        <f>COUNTIF(E3:E49,"Tomás")</f>
        <v>2</v>
      </c>
      <c r="F62" s="94">
        <f t="shared" si="2"/>
        <v>40</v>
      </c>
      <c r="G62" s="95"/>
      <c r="H62" s="96"/>
      <c r="J62" s="91"/>
      <c r="K62" s="92" t="s">
        <v>46</v>
      </c>
      <c r="L62" s="93">
        <f>COUNTIF(L2:L50,"Tomás")</f>
        <v>0</v>
      </c>
      <c r="M62" s="94">
        <f t="shared" si="3"/>
        <v>0</v>
      </c>
      <c r="N62" s="95"/>
      <c r="O62" s="96"/>
      <c r="Q62" s="97" t="s">
        <v>46</v>
      </c>
      <c r="R62" s="98">
        <f t="shared" si="4"/>
        <v>40</v>
      </c>
    </row>
    <row r="63" ht="22.5" customHeight="1">
      <c r="C63" s="69" t="s">
        <v>47</v>
      </c>
      <c r="D63" s="99" t="s">
        <v>35</v>
      </c>
      <c r="E63" s="100">
        <f>Countif(F3:F49,"Gift")</f>
        <v>7</v>
      </c>
      <c r="F63" s="101">
        <f t="shared" si="2"/>
        <v>140</v>
      </c>
      <c r="G63" s="102">
        <f>F50</f>
        <v>44</v>
      </c>
      <c r="H63" s="103">
        <f>SUM(F63:F68)</f>
        <v>880</v>
      </c>
      <c r="J63" s="69" t="s">
        <v>47</v>
      </c>
      <c r="K63" s="99" t="s">
        <v>35</v>
      </c>
      <c r="L63" s="100">
        <f>Countif(M1:M47,"Gift")</f>
        <v>0</v>
      </c>
      <c r="M63" s="101">
        <f t="shared" si="3"/>
        <v>0</v>
      </c>
      <c r="N63" s="102">
        <f t="shared" ref="N63:O63" si="5">SUM(L63:L68)</f>
        <v>10</v>
      </c>
      <c r="O63" s="103">
        <f t="shared" si="5"/>
        <v>250</v>
      </c>
      <c r="Q63" s="104" t="s">
        <v>35</v>
      </c>
      <c r="R63" s="105">
        <f t="shared" si="4"/>
        <v>140</v>
      </c>
    </row>
    <row r="64" ht="22.5" customHeight="1">
      <c r="C64" s="77"/>
      <c r="D64" s="99" t="s">
        <v>34</v>
      </c>
      <c r="E64" s="100">
        <f>Countif(F3:F49,"Monte")</f>
        <v>12</v>
      </c>
      <c r="F64" s="101">
        <f t="shared" si="2"/>
        <v>240</v>
      </c>
      <c r="G64" s="106"/>
      <c r="H64" s="82"/>
      <c r="J64" s="77"/>
      <c r="K64" s="99" t="s">
        <v>34</v>
      </c>
      <c r="L64" s="100">
        <f>Countif(M1:M47,"Monte")</f>
        <v>4</v>
      </c>
      <c r="M64" s="101">
        <f t="shared" si="3"/>
        <v>100</v>
      </c>
      <c r="N64" s="106"/>
      <c r="O64" s="82"/>
      <c r="Q64" s="83" t="s">
        <v>34</v>
      </c>
      <c r="R64" s="76">
        <f t="shared" si="4"/>
        <v>340</v>
      </c>
    </row>
    <row r="65" ht="22.5" customHeight="1">
      <c r="C65" s="77"/>
      <c r="D65" s="99" t="s">
        <v>26</v>
      </c>
      <c r="E65" s="100">
        <f>Countif(F3:F49,"Sorte")</f>
        <v>13</v>
      </c>
      <c r="F65" s="101">
        <f t="shared" si="2"/>
        <v>260</v>
      </c>
      <c r="G65" s="106"/>
      <c r="H65" s="82"/>
      <c r="J65" s="77"/>
      <c r="K65" s="99" t="s">
        <v>26</v>
      </c>
      <c r="L65" s="100">
        <f>Countif(M1:M47,"Sorte")</f>
        <v>3</v>
      </c>
      <c r="M65" s="101">
        <f t="shared" si="3"/>
        <v>75</v>
      </c>
      <c r="N65" s="106"/>
      <c r="O65" s="82"/>
      <c r="Q65" s="83" t="s">
        <v>26</v>
      </c>
      <c r="R65" s="76">
        <f t="shared" si="4"/>
        <v>335</v>
      </c>
    </row>
    <row r="66" ht="22.5" customHeight="1">
      <c r="C66" s="77"/>
      <c r="D66" s="99" t="s">
        <v>14</v>
      </c>
      <c r="E66" s="100">
        <f>Countif(F3:F49,"Afonso")</f>
        <v>10</v>
      </c>
      <c r="F66" s="101">
        <f t="shared" si="2"/>
        <v>200</v>
      </c>
      <c r="G66" s="106"/>
      <c r="H66" s="82"/>
      <c r="J66" s="77"/>
      <c r="K66" s="99" t="s">
        <v>14</v>
      </c>
      <c r="L66" s="100">
        <f>Countif(M1:M47,"Afonso")</f>
        <v>3</v>
      </c>
      <c r="M66" s="101">
        <f t="shared" si="3"/>
        <v>75</v>
      </c>
      <c r="N66" s="106"/>
      <c r="O66" s="82"/>
      <c r="Q66" s="83" t="s">
        <v>14</v>
      </c>
      <c r="R66" s="76">
        <f t="shared" si="4"/>
        <v>275</v>
      </c>
    </row>
    <row r="67" ht="22.5" customHeight="1">
      <c r="C67" s="77"/>
      <c r="D67" s="99" t="s">
        <v>18</v>
      </c>
      <c r="E67" s="107">
        <f>Countif(F3:F49,"Geni")</f>
        <v>2</v>
      </c>
      <c r="F67" s="108">
        <f t="shared" si="2"/>
        <v>40</v>
      </c>
      <c r="G67" s="106"/>
      <c r="H67" s="82"/>
      <c r="J67" s="77"/>
      <c r="K67" s="99" t="s">
        <v>18</v>
      </c>
      <c r="L67" s="100">
        <f>Countif(M1:M47,"Geni")</f>
        <v>0</v>
      </c>
      <c r="M67" s="101">
        <f t="shared" si="3"/>
        <v>0</v>
      </c>
      <c r="N67" s="106"/>
      <c r="O67" s="82"/>
      <c r="Q67" s="83" t="s">
        <v>18</v>
      </c>
      <c r="R67" s="76">
        <f t="shared" si="4"/>
        <v>40</v>
      </c>
    </row>
    <row r="68" ht="22.5" customHeight="1">
      <c r="C68" s="91"/>
      <c r="D68" s="92"/>
      <c r="E68" s="86">
        <f>Countif(F3:F49,"Pedro")</f>
        <v>0</v>
      </c>
      <c r="F68" s="87">
        <f t="shared" si="2"/>
        <v>0</v>
      </c>
      <c r="G68" s="106"/>
      <c r="H68" s="82"/>
      <c r="J68" s="91"/>
      <c r="K68" s="92"/>
      <c r="L68" s="93">
        <f>Countif(M1:M47,"Pedro")</f>
        <v>0</v>
      </c>
      <c r="M68" s="94">
        <f t="shared" si="3"/>
        <v>0</v>
      </c>
      <c r="N68" s="106"/>
      <c r="O68" s="82"/>
      <c r="Q68" s="97"/>
      <c r="R68" s="98">
        <f t="shared" si="4"/>
        <v>0</v>
      </c>
    </row>
    <row r="69" ht="22.5" customHeight="1">
      <c r="C69" s="69" t="s">
        <v>49</v>
      </c>
      <c r="D69" s="114" t="s">
        <v>19</v>
      </c>
      <c r="E69" s="115">
        <f>Countif(G3:G49,"Apostas")</f>
        <v>18</v>
      </c>
      <c r="F69" s="112">
        <f t="shared" si="2"/>
        <v>360</v>
      </c>
      <c r="G69" s="73">
        <f>G50</f>
        <v>44</v>
      </c>
      <c r="H69" s="74">
        <f>SUM(F69:F72)</f>
        <v>880</v>
      </c>
      <c r="J69" s="69" t="s">
        <v>49</v>
      </c>
      <c r="K69" s="114" t="s">
        <v>19</v>
      </c>
      <c r="L69" s="115">
        <f>Countif(N1:N47,"Apostas")</f>
        <v>4</v>
      </c>
      <c r="M69" s="112">
        <f t="shared" si="3"/>
        <v>100</v>
      </c>
      <c r="N69" s="73">
        <f t="shared" ref="N69:O69" si="6">SUM(L69:L71)</f>
        <v>10</v>
      </c>
      <c r="O69" s="74">
        <f t="shared" si="6"/>
        <v>250</v>
      </c>
      <c r="Q69" s="104" t="s">
        <v>19</v>
      </c>
      <c r="R69" s="105">
        <f t="shared" si="4"/>
        <v>460</v>
      </c>
    </row>
    <row r="70" ht="22.5" customHeight="1">
      <c r="C70" s="77"/>
      <c r="D70" s="120" t="s">
        <v>15</v>
      </c>
      <c r="E70" s="121">
        <f>Countif(G3:G49,"Prodígio")</f>
        <v>21</v>
      </c>
      <c r="F70" s="119">
        <f t="shared" si="2"/>
        <v>420</v>
      </c>
      <c r="G70" s="81"/>
      <c r="H70" s="82"/>
      <c r="J70" s="77"/>
      <c r="K70" s="120" t="s">
        <v>15</v>
      </c>
      <c r="L70" s="121">
        <f>Countif(N1:N47,"Prodígio")</f>
        <v>3</v>
      </c>
      <c r="M70" s="119">
        <f t="shared" si="3"/>
        <v>75</v>
      </c>
      <c r="N70" s="81"/>
      <c r="O70" s="82"/>
      <c r="Q70" s="83" t="s">
        <v>15</v>
      </c>
      <c r="R70" s="76">
        <f t="shared" si="4"/>
        <v>495</v>
      </c>
    </row>
    <row r="71" ht="22.5" customHeight="1">
      <c r="C71" s="77"/>
      <c r="D71" s="120" t="s">
        <v>50</v>
      </c>
      <c r="E71" s="121">
        <f>Countif(G1:G49,"Poço")</f>
        <v>1</v>
      </c>
      <c r="F71" s="119">
        <f t="shared" si="2"/>
        <v>20</v>
      </c>
      <c r="G71" s="81"/>
      <c r="H71" s="82"/>
      <c r="J71" s="77"/>
      <c r="K71" s="120" t="s">
        <v>50</v>
      </c>
      <c r="L71" s="121">
        <f>Countif(N1:N47,"Poço")</f>
        <v>3</v>
      </c>
      <c r="M71" s="119">
        <f t="shared" si="3"/>
        <v>75</v>
      </c>
      <c r="N71" s="81"/>
      <c r="O71" s="82"/>
      <c r="Q71" s="83" t="s">
        <v>50</v>
      </c>
      <c r="R71" s="76">
        <f t="shared" si="4"/>
        <v>95</v>
      </c>
    </row>
    <row r="72" ht="22.5" customHeight="1">
      <c r="C72" s="91"/>
      <c r="D72" s="222" t="s">
        <v>24</v>
      </c>
      <c r="E72" s="128">
        <f>Countif(G2:G50,"Pedro")</f>
        <v>4</v>
      </c>
      <c r="F72" s="129">
        <f t="shared" si="2"/>
        <v>80</v>
      </c>
      <c r="G72" s="130"/>
      <c r="H72" s="127"/>
      <c r="J72" s="91"/>
      <c r="K72" s="222" t="s">
        <v>24</v>
      </c>
      <c r="L72" s="128">
        <f>Countif(N2:N47,"Pedro")</f>
        <v>0</v>
      </c>
      <c r="M72" s="129">
        <f>((60/3)*L72)</f>
        <v>0</v>
      </c>
      <c r="N72" s="130"/>
      <c r="O72" s="127"/>
      <c r="Q72" s="131" t="s">
        <v>24</v>
      </c>
      <c r="R72" s="76">
        <f t="shared" si="4"/>
        <v>80</v>
      </c>
    </row>
    <row r="73">
      <c r="H73" s="132">
        <f>SUM(H56:H71)</f>
        <v>2640</v>
      </c>
      <c r="O73" s="132">
        <f>SUM(O56:O71)</f>
        <v>825</v>
      </c>
      <c r="Q73" s="133"/>
      <c r="R73" s="134">
        <f>SUM(H73+O73)</f>
        <v>3465</v>
      </c>
    </row>
    <row r="74">
      <c r="H74" s="135"/>
      <c r="O74" s="135"/>
      <c r="Q74" s="133"/>
      <c r="R74" s="135"/>
    </row>
    <row r="77" ht="22.5" customHeight="1">
      <c r="D77" s="136" t="s">
        <v>36</v>
      </c>
      <c r="E77" s="136" t="s">
        <v>37</v>
      </c>
      <c r="F77" s="136" t="s">
        <v>38</v>
      </c>
      <c r="G77" s="137" t="s">
        <v>40</v>
      </c>
      <c r="J77" s="138" t="s">
        <v>6</v>
      </c>
      <c r="K77" s="100" t="s">
        <v>51</v>
      </c>
      <c r="Q77" s="139" t="s">
        <v>52</v>
      </c>
    </row>
    <row r="78" ht="22.5" customHeight="1">
      <c r="C78" s="140" t="s">
        <v>53</v>
      </c>
      <c r="D78" s="141" t="s">
        <v>54</v>
      </c>
      <c r="E78" s="142">
        <f>COUNTIF(E23:E49,"Medicina")</f>
        <v>0</v>
      </c>
      <c r="F78" s="143">
        <f t="shared" ref="F78:F80" si="7">((60/3)*E78)</f>
        <v>0</v>
      </c>
      <c r="G78" s="144">
        <f>SUM(F78:F80)</f>
        <v>0</v>
      </c>
      <c r="J78" s="145" t="s">
        <v>55</v>
      </c>
      <c r="K78" s="146">
        <v>20.0</v>
      </c>
      <c r="P78" s="147"/>
      <c r="Q78" s="223" t="s">
        <v>56</v>
      </c>
      <c r="R78" s="224"/>
    </row>
    <row r="79" ht="22.5" customHeight="1">
      <c r="C79" s="116"/>
      <c r="D79" s="150" t="s">
        <v>57</v>
      </c>
      <c r="E79" s="88">
        <f>COUNTIF(E23:E49,"Literatus")</f>
        <v>0</v>
      </c>
      <c r="F79" s="151">
        <f t="shared" si="7"/>
        <v>0</v>
      </c>
      <c r="G79" s="152"/>
      <c r="J79" s="153" t="s">
        <v>58</v>
      </c>
      <c r="K79" s="154">
        <v>20.0</v>
      </c>
      <c r="P79" s="155"/>
      <c r="Q79" s="225" t="s">
        <v>59</v>
      </c>
      <c r="R79" s="226"/>
    </row>
    <row r="80" ht="22.5" customHeight="1">
      <c r="C80" s="124"/>
      <c r="D80" s="158" t="s">
        <v>60</v>
      </c>
      <c r="E80" s="159">
        <f>COUNTIF(E23:E49,"Enfermagem")</f>
        <v>0</v>
      </c>
      <c r="F80" s="160">
        <f t="shared" si="7"/>
        <v>0</v>
      </c>
      <c r="G80" s="161"/>
      <c r="J80" s="153" t="s">
        <v>61</v>
      </c>
      <c r="K80" s="154">
        <v>20.0</v>
      </c>
      <c r="P80" s="162"/>
      <c r="Q80" s="225" t="s">
        <v>62</v>
      </c>
      <c r="R80" s="226"/>
    </row>
    <row r="81" ht="22.5" customHeight="1">
      <c r="G81" s="163">
        <f>SUM(G78:G80)</f>
        <v>0</v>
      </c>
      <c r="J81" s="164" t="s">
        <v>63</v>
      </c>
      <c r="K81" s="165">
        <v>20.0</v>
      </c>
      <c r="P81" s="166"/>
      <c r="Q81" s="223" t="s">
        <v>64</v>
      </c>
      <c r="R81" s="224"/>
    </row>
    <row r="82">
      <c r="G82" s="161"/>
      <c r="P82" s="167" t="s">
        <v>65</v>
      </c>
      <c r="Q82" s="225" t="s">
        <v>66</v>
      </c>
      <c r="R82" s="226"/>
    </row>
    <row r="83">
      <c r="P83" s="168" t="s">
        <v>65</v>
      </c>
      <c r="Q83" s="225" t="s">
        <v>202</v>
      </c>
      <c r="R83" s="226"/>
    </row>
    <row r="84">
      <c r="P84" s="169" t="s">
        <v>28</v>
      </c>
      <c r="Q84" s="225" t="s">
        <v>203</v>
      </c>
      <c r="R84" s="226"/>
    </row>
    <row r="85">
      <c r="P85" s="170"/>
      <c r="Q85" s="225" t="s">
        <v>69</v>
      </c>
      <c r="R85" s="226"/>
    </row>
    <row r="86">
      <c r="P86" s="171" t="s">
        <v>65</v>
      </c>
      <c r="Q86" s="225" t="s">
        <v>68</v>
      </c>
      <c r="R86" s="226"/>
    </row>
    <row r="87">
      <c r="P87" s="172">
        <v>46.0</v>
      </c>
      <c r="Q87" s="225" t="s">
        <v>71</v>
      </c>
      <c r="R87" s="226"/>
    </row>
  </sheetData>
  <mergeCells count="91">
    <mergeCell ref="D25:D26"/>
    <mergeCell ref="E25:E26"/>
    <mergeCell ref="B27:B28"/>
    <mergeCell ref="C27:C28"/>
    <mergeCell ref="B33:B34"/>
    <mergeCell ref="C33:C34"/>
    <mergeCell ref="C35:C36"/>
    <mergeCell ref="B35:B36"/>
    <mergeCell ref="B37:B38"/>
    <mergeCell ref="C37:C38"/>
    <mergeCell ref="B43:B44"/>
    <mergeCell ref="C43:C44"/>
    <mergeCell ref="B45:B46"/>
    <mergeCell ref="C45:C46"/>
    <mergeCell ref="C63:C68"/>
    <mergeCell ref="C69:C72"/>
    <mergeCell ref="C78:C80"/>
    <mergeCell ref="G69:G72"/>
    <mergeCell ref="H69:H72"/>
    <mergeCell ref="H73:H74"/>
    <mergeCell ref="G78:G80"/>
    <mergeCell ref="G81:G82"/>
    <mergeCell ref="B47:B48"/>
    <mergeCell ref="C47:C48"/>
    <mergeCell ref="C56:C62"/>
    <mergeCell ref="G56:G62"/>
    <mergeCell ref="H56:H62"/>
    <mergeCell ref="G63:G68"/>
    <mergeCell ref="H63:H68"/>
    <mergeCell ref="I25:I26"/>
    <mergeCell ref="J25:J26"/>
    <mergeCell ref="I27:I28"/>
    <mergeCell ref="J27:J28"/>
    <mergeCell ref="K27:K28"/>
    <mergeCell ref="J33:J34"/>
    <mergeCell ref="K33:K34"/>
    <mergeCell ref="I33:I34"/>
    <mergeCell ref="I37:I38"/>
    <mergeCell ref="J37:J38"/>
    <mergeCell ref="K37:K38"/>
    <mergeCell ref="I43:I44"/>
    <mergeCell ref="J43:J44"/>
    <mergeCell ref="K43:K44"/>
    <mergeCell ref="N69:N72"/>
    <mergeCell ref="O69:O72"/>
    <mergeCell ref="O73:O74"/>
    <mergeCell ref="R73:R74"/>
    <mergeCell ref="Q77:R77"/>
    <mergeCell ref="J56:J62"/>
    <mergeCell ref="N56:N62"/>
    <mergeCell ref="O56:O62"/>
    <mergeCell ref="J63:J68"/>
    <mergeCell ref="N63:N68"/>
    <mergeCell ref="O63:O68"/>
    <mergeCell ref="J69:J72"/>
    <mergeCell ref="J6:J7"/>
    <mergeCell ref="K6:K7"/>
    <mergeCell ref="B1:C1"/>
    <mergeCell ref="B2:G2"/>
    <mergeCell ref="J2:K2"/>
    <mergeCell ref="I3:N3"/>
    <mergeCell ref="B4:B5"/>
    <mergeCell ref="C4:C5"/>
    <mergeCell ref="B6:B7"/>
    <mergeCell ref="C6:C7"/>
    <mergeCell ref="I6:I7"/>
    <mergeCell ref="B12:B13"/>
    <mergeCell ref="C12:C13"/>
    <mergeCell ref="I12:I13"/>
    <mergeCell ref="J12:J13"/>
    <mergeCell ref="K12:K13"/>
    <mergeCell ref="B14:B15"/>
    <mergeCell ref="C14:C15"/>
    <mergeCell ref="B16:B17"/>
    <mergeCell ref="C16:C17"/>
    <mergeCell ref="I16:I17"/>
    <mergeCell ref="J16:J17"/>
    <mergeCell ref="K16:K17"/>
    <mergeCell ref="F25:F26"/>
    <mergeCell ref="G25:G26"/>
    <mergeCell ref="B22:B23"/>
    <mergeCell ref="C22:C23"/>
    <mergeCell ref="I22:I23"/>
    <mergeCell ref="J22:J23"/>
    <mergeCell ref="K22:K23"/>
    <mergeCell ref="B24:B26"/>
    <mergeCell ref="C24:C26"/>
    <mergeCell ref="K25:K26"/>
    <mergeCell ref="I47:I48"/>
    <mergeCell ref="J47:J48"/>
    <mergeCell ref="K47:K48"/>
  </mergeCells>
  <conditionalFormatting sqref="C77">
    <cfRule type="notContainsBlanks" dxfId="7" priority="1">
      <formula>LEN(TRIM(C77))&gt;0</formula>
    </cfRule>
  </conditionalFormatting>
  <dataValidations>
    <dataValidation type="list" allowBlank="1" showErrorMessage="1" sqref="G4:G5 N6 G9:G10 N12 G12:G17 G19 G21 N25 G27:G28 G30 G40 G45:G48">
      <formula1>"Apostas,Prodígio,Poço,Pedro,-"</formula1>
    </dataValidation>
    <dataValidation type="list" allowBlank="1" showErrorMessage="1" sqref="G6:G8 G11 N16 G18 G20 N22 G22:G25 N27 G29 N33 N37 G31:G39 N43 G41:G44 N47 G49">
      <formula1>"Apostas,Prodígio,Poço,-"</formula1>
    </dataValidation>
    <dataValidation type="list" allowBlank="1" showErrorMessage="1" sqref="P82">
      <formula1>"Nome"</formula1>
    </dataValidation>
    <dataValidation type="list" allowBlank="1" showErrorMessage="1" sqref="P84">
      <formula1>"-"</formula1>
    </dataValidation>
    <dataValidation type="list" allowBlank="1" showErrorMessage="1" sqref="P83">
      <formula1>"Nome"</formula1>
    </dataValidation>
    <dataValidation type="list" allowBlank="1" showErrorMessage="1" sqref="D4:D25 D27:D49">
      <formula1>"19h00,18h00,19h30,21h00,21h30,16h00"</formula1>
    </dataValidation>
    <dataValidation type="list" allowBlank="1" showErrorMessage="1" sqref="F4:F25 M25 F27:F49">
      <formula1>"Gift,Monte,Sorte,Afonso,Geni,JP,-"</formula1>
    </dataValidation>
    <dataValidation type="list" allowBlank="1" showErrorMessage="1" sqref="L6 L12:L13 L16 L22:L23 L25:L27 L33:L34 L37 L43 L47">
      <formula1>"Tuna,Gustavo,Mira,Pablo,Tavares,Pipo,Sobral,Medicina,Literatus,Enfermagem,-"</formula1>
    </dataValidation>
    <dataValidation type="list" allowBlank="1" showErrorMessage="1" sqref="P85">
      <formula1>" -"</formula1>
    </dataValidation>
    <dataValidation type="list" allowBlank="1" showErrorMessage="1" sqref="M6 M12 M16 M22 M27 M33 M37 M43 M47">
      <formula1>"Gift,Monte,Sorte,Afonso,Geni,JP,-"</formula1>
    </dataValidation>
    <dataValidation type="list" allowBlank="1" showErrorMessage="1" sqref="E4:E25 E27:E49">
      <formula1>"Tuna,Pipo,Mira,Pablo,Gustavo,Tavares,Tomás,Sobral,Medicina,Literatus,Enfermagem,-"</formula1>
    </dataValidation>
    <dataValidation type="custom" allowBlank="1" showDropDown="1" sqref="M56:M72 F56:F72 F78:F80 K78:K81">
      <formula1>AND(ISNUMBER(F56),(NOT(OR(NOT(ISERROR(DATEVALUE(F56))), AND(ISNUMBER(F56), LEFT(CELL("format", F56))="D")))))</formula1>
    </dataValidation>
    <dataValidation type="list" allowBlank="1" showErrorMessage="1" sqref="K6 K12 K16 K22 K25 K27 K33 K37 K43 K47">
      <formula1>"17h00,19h00,18h30"</formula1>
    </dataValidation>
  </dataValidations>
  <drawing r:id="rId4"/>
  <legacyDrawing r:id="rId5"/>
  <tableParts count="4">
    <tablePart r:id="rId10"/>
    <tablePart r:id="rId11"/>
    <tablePart r:id="rId12"/>
    <tablePart r:id="r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25"/>
    <col customWidth="1" min="13" max="13" width="13.0"/>
    <col customWidth="1" min="14" max="14" width="14.13"/>
  </cols>
  <sheetData>
    <row r="1">
      <c r="A1" s="1"/>
      <c r="B1" s="2" t="s">
        <v>1</v>
      </c>
    </row>
    <row r="2">
      <c r="A2" s="3"/>
      <c r="B2" s="4" t="s">
        <v>199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10</v>
      </c>
      <c r="J3" s="12"/>
      <c r="K3" s="12"/>
      <c r="L3" s="12"/>
      <c r="M3" s="12"/>
      <c r="N3" s="13"/>
    </row>
    <row r="4">
      <c r="A4" s="14"/>
      <c r="B4" s="191" t="s">
        <v>21</v>
      </c>
      <c r="C4" s="192">
        <v>1.0</v>
      </c>
      <c r="D4" s="17" t="s">
        <v>27</v>
      </c>
      <c r="E4" s="18" t="s">
        <v>30</v>
      </c>
      <c r="F4" s="18" t="s">
        <v>14</v>
      </c>
      <c r="G4" s="19" t="s">
        <v>19</v>
      </c>
      <c r="I4" s="324"/>
      <c r="J4" s="324"/>
      <c r="K4" s="324"/>
      <c r="L4" s="324"/>
      <c r="M4" s="324"/>
      <c r="N4" s="324"/>
    </row>
    <row r="5">
      <c r="A5" s="14"/>
      <c r="B5" s="191" t="s">
        <v>23</v>
      </c>
      <c r="C5" s="192">
        <v>2.0</v>
      </c>
      <c r="D5" s="17" t="s">
        <v>27</v>
      </c>
      <c r="E5" s="18" t="s">
        <v>22</v>
      </c>
      <c r="F5" s="19" t="s">
        <v>26</v>
      </c>
      <c r="G5" s="18" t="s">
        <v>15</v>
      </c>
      <c r="I5" s="335"/>
      <c r="J5" s="335"/>
      <c r="K5" s="335"/>
      <c r="L5" s="335"/>
      <c r="M5" s="335"/>
      <c r="N5" s="335"/>
    </row>
    <row r="6">
      <c r="A6" s="14"/>
      <c r="B6" s="25" t="s">
        <v>25</v>
      </c>
      <c r="C6" s="26">
        <v>3.0</v>
      </c>
      <c r="D6" s="17" t="s">
        <v>12</v>
      </c>
      <c r="E6" s="18" t="s">
        <v>22</v>
      </c>
      <c r="F6" s="19" t="s">
        <v>26</v>
      </c>
      <c r="G6" s="18" t="s">
        <v>15</v>
      </c>
      <c r="I6" s="195" t="s">
        <v>25</v>
      </c>
      <c r="J6" s="196">
        <v>3.0</v>
      </c>
      <c r="K6" s="197" t="s">
        <v>200</v>
      </c>
      <c r="L6" s="347" t="s">
        <v>30</v>
      </c>
      <c r="M6" s="348" t="s">
        <v>34</v>
      </c>
      <c r="N6" s="31" t="s">
        <v>19</v>
      </c>
    </row>
    <row r="7">
      <c r="A7" s="14"/>
      <c r="B7" s="23"/>
      <c r="C7" s="23"/>
      <c r="D7" s="17" t="s">
        <v>16</v>
      </c>
      <c r="E7" s="18" t="s">
        <v>22</v>
      </c>
      <c r="F7" s="19" t="s">
        <v>26</v>
      </c>
      <c r="G7" s="18" t="s">
        <v>15</v>
      </c>
      <c r="I7" s="200"/>
      <c r="L7" s="30" t="s">
        <v>13</v>
      </c>
      <c r="M7" s="201"/>
      <c r="N7" s="36"/>
    </row>
    <row r="8">
      <c r="A8" s="14"/>
      <c r="B8" s="25" t="s">
        <v>29</v>
      </c>
      <c r="C8" s="26">
        <v>4.0</v>
      </c>
      <c r="D8" s="17" t="s">
        <v>12</v>
      </c>
      <c r="E8" s="18" t="s">
        <v>13</v>
      </c>
      <c r="F8" s="18" t="s">
        <v>34</v>
      </c>
      <c r="G8" s="18" t="s">
        <v>15</v>
      </c>
      <c r="I8" s="52"/>
      <c r="J8" s="53"/>
      <c r="K8" s="54"/>
      <c r="L8" s="40"/>
      <c r="M8" s="51"/>
      <c r="N8" s="42"/>
    </row>
    <row r="9">
      <c r="A9" s="14"/>
      <c r="B9" s="23"/>
      <c r="C9" s="23"/>
      <c r="D9" s="17" t="s">
        <v>16</v>
      </c>
      <c r="E9" s="18" t="s">
        <v>13</v>
      </c>
      <c r="F9" s="18" t="s">
        <v>34</v>
      </c>
      <c r="G9" s="18" t="s">
        <v>15</v>
      </c>
      <c r="I9" s="20"/>
      <c r="J9" s="21"/>
      <c r="K9" s="21"/>
      <c r="L9" s="50"/>
      <c r="M9" s="220"/>
      <c r="N9" s="221"/>
    </row>
    <row r="10">
      <c r="A10" s="14"/>
      <c r="B10" s="25" t="s">
        <v>31</v>
      </c>
      <c r="C10" s="26">
        <v>5.0</v>
      </c>
      <c r="D10" s="17" t="s">
        <v>32</v>
      </c>
      <c r="E10" s="18" t="s">
        <v>22</v>
      </c>
      <c r="F10" s="18" t="s">
        <v>34</v>
      </c>
      <c r="G10" s="18" t="s">
        <v>19</v>
      </c>
      <c r="I10" s="349"/>
      <c r="J10" s="350"/>
      <c r="K10" s="21"/>
      <c r="L10" s="50"/>
      <c r="M10" s="220"/>
      <c r="N10" s="221"/>
    </row>
    <row r="11">
      <c r="A11" s="14"/>
      <c r="B11" s="24"/>
      <c r="C11" s="24"/>
      <c r="D11" s="17" t="s">
        <v>12</v>
      </c>
      <c r="E11" s="18" t="s">
        <v>22</v>
      </c>
      <c r="F11" s="19" t="s">
        <v>34</v>
      </c>
      <c r="G11" s="18" t="s">
        <v>19</v>
      </c>
      <c r="I11" s="27" t="s">
        <v>31</v>
      </c>
      <c r="J11" s="46">
        <v>5.0</v>
      </c>
      <c r="K11" s="204" t="s">
        <v>200</v>
      </c>
      <c r="L11" s="347" t="s">
        <v>13</v>
      </c>
      <c r="M11" s="348" t="s">
        <v>26</v>
      </c>
      <c r="N11" s="31" t="s">
        <v>15</v>
      </c>
    </row>
    <row r="12">
      <c r="A12" s="14"/>
      <c r="B12" s="23"/>
      <c r="C12" s="23"/>
      <c r="D12" s="17" t="s">
        <v>16</v>
      </c>
      <c r="E12" s="18" t="s">
        <v>22</v>
      </c>
      <c r="F12" s="19" t="s">
        <v>34</v>
      </c>
      <c r="G12" s="18" t="s">
        <v>19</v>
      </c>
      <c r="I12" s="32"/>
      <c r="J12" s="45"/>
      <c r="K12" s="45"/>
      <c r="L12" s="351" t="s">
        <v>30</v>
      </c>
      <c r="M12" s="210"/>
      <c r="N12" s="211"/>
    </row>
    <row r="13">
      <c r="A13" s="14"/>
      <c r="B13" s="191" t="s">
        <v>11</v>
      </c>
      <c r="C13" s="192">
        <v>6.0</v>
      </c>
      <c r="D13" s="17" t="s">
        <v>27</v>
      </c>
      <c r="E13" s="18" t="s">
        <v>30</v>
      </c>
      <c r="F13" s="19" t="s">
        <v>14</v>
      </c>
      <c r="G13" s="18" t="s">
        <v>15</v>
      </c>
      <c r="I13" s="52"/>
      <c r="J13" s="53"/>
      <c r="K13" s="54"/>
      <c r="L13" s="40"/>
      <c r="M13" s="51"/>
      <c r="N13" s="42"/>
    </row>
    <row r="14">
      <c r="A14" s="14"/>
      <c r="B14" s="15" t="s">
        <v>17</v>
      </c>
      <c r="C14" s="16">
        <v>7.0</v>
      </c>
      <c r="D14" s="17" t="s">
        <v>32</v>
      </c>
      <c r="E14" s="18" t="s">
        <v>30</v>
      </c>
      <c r="F14" s="18" t="s">
        <v>208</v>
      </c>
      <c r="G14" s="18" t="s">
        <v>19</v>
      </c>
      <c r="I14" s="352"/>
      <c r="L14" s="50"/>
      <c r="M14" s="220"/>
      <c r="N14" s="221"/>
    </row>
    <row r="15">
      <c r="A15" s="14"/>
      <c r="B15" s="23"/>
      <c r="C15" s="23"/>
      <c r="D15" s="17" t="s">
        <v>27</v>
      </c>
      <c r="E15" s="18" t="s">
        <v>30</v>
      </c>
      <c r="F15" s="18" t="s">
        <v>14</v>
      </c>
      <c r="G15" s="18" t="s">
        <v>19</v>
      </c>
      <c r="I15" s="20"/>
      <c r="J15" s="21"/>
      <c r="K15" s="21"/>
      <c r="L15" s="50"/>
      <c r="M15" s="220"/>
      <c r="N15" s="221"/>
    </row>
    <row r="16">
      <c r="A16" s="14"/>
      <c r="B16" s="191" t="s">
        <v>21</v>
      </c>
      <c r="C16" s="192">
        <v>8.0</v>
      </c>
      <c r="D16" s="17" t="s">
        <v>27</v>
      </c>
      <c r="E16" s="18" t="s">
        <v>13</v>
      </c>
      <c r="F16" s="18" t="s">
        <v>26</v>
      </c>
      <c r="G16" s="18" t="s">
        <v>15</v>
      </c>
      <c r="I16" s="49"/>
      <c r="J16" s="50"/>
      <c r="K16" s="40"/>
      <c r="L16" s="40"/>
      <c r="M16" s="51"/>
      <c r="N16" s="42"/>
    </row>
    <row r="17">
      <c r="A17" s="14"/>
      <c r="B17" s="191" t="s">
        <v>23</v>
      </c>
      <c r="C17" s="192">
        <v>9.0</v>
      </c>
      <c r="D17" s="17" t="s">
        <v>27</v>
      </c>
      <c r="E17" s="18" t="s">
        <v>22</v>
      </c>
      <c r="F17" s="19" t="s">
        <v>14</v>
      </c>
      <c r="G17" s="18" t="s">
        <v>15</v>
      </c>
      <c r="I17" s="20"/>
      <c r="J17" s="21"/>
      <c r="K17" s="21"/>
      <c r="L17" s="50"/>
      <c r="M17" s="220"/>
      <c r="N17" s="221"/>
    </row>
    <row r="18">
      <c r="A18" s="14"/>
      <c r="B18" s="25" t="s">
        <v>25</v>
      </c>
      <c r="C18" s="26">
        <v>10.0</v>
      </c>
      <c r="D18" s="17" t="s">
        <v>12</v>
      </c>
      <c r="E18" s="18" t="s">
        <v>22</v>
      </c>
      <c r="F18" s="18" t="s">
        <v>34</v>
      </c>
      <c r="G18" s="18" t="s">
        <v>15</v>
      </c>
      <c r="I18" s="27" t="s">
        <v>25</v>
      </c>
      <c r="J18" s="46">
        <v>10.0</v>
      </c>
      <c r="K18" s="44" t="s">
        <v>200</v>
      </c>
      <c r="L18" s="347" t="s">
        <v>13</v>
      </c>
      <c r="M18" s="199" t="s">
        <v>35</v>
      </c>
      <c r="N18" s="31" t="s">
        <v>19</v>
      </c>
    </row>
    <row r="19">
      <c r="A19" s="14"/>
      <c r="B19" s="23"/>
      <c r="C19" s="23"/>
      <c r="D19" s="17" t="s">
        <v>16</v>
      </c>
      <c r="E19" s="18" t="s">
        <v>22</v>
      </c>
      <c r="F19" s="18" t="s">
        <v>34</v>
      </c>
      <c r="G19" s="18" t="s">
        <v>15</v>
      </c>
      <c r="I19" s="32"/>
      <c r="J19" s="45"/>
      <c r="K19" s="45"/>
      <c r="L19" s="47" t="s">
        <v>30</v>
      </c>
      <c r="M19" s="35"/>
      <c r="N19" s="190"/>
    </row>
    <row r="20">
      <c r="A20" s="14"/>
      <c r="B20" s="25" t="s">
        <v>29</v>
      </c>
      <c r="C20" s="26">
        <v>11.0</v>
      </c>
      <c r="D20" s="270" t="s">
        <v>12</v>
      </c>
      <c r="E20" s="18" t="s">
        <v>13</v>
      </c>
      <c r="F20" s="18" t="s">
        <v>34</v>
      </c>
      <c r="G20" s="19" t="s">
        <v>19</v>
      </c>
      <c r="I20" s="215"/>
      <c r="J20" s="216"/>
      <c r="K20" s="217"/>
      <c r="L20" s="217"/>
      <c r="M20" s="51"/>
      <c r="N20" s="42"/>
    </row>
    <row r="21">
      <c r="A21" s="14"/>
      <c r="B21" s="23"/>
      <c r="C21" s="23"/>
      <c r="D21" s="270" t="s">
        <v>16</v>
      </c>
      <c r="E21" s="18" t="s">
        <v>13</v>
      </c>
      <c r="F21" s="18" t="s">
        <v>34</v>
      </c>
      <c r="G21" s="19" t="s">
        <v>19</v>
      </c>
      <c r="I21" s="37"/>
      <c r="J21" s="38"/>
      <c r="K21" s="39"/>
      <c r="L21" s="217"/>
      <c r="M21" s="51"/>
      <c r="N21" s="42"/>
    </row>
    <row r="22">
      <c r="A22" s="14"/>
      <c r="B22" s="25" t="s">
        <v>31</v>
      </c>
      <c r="C22" s="26">
        <v>12.0</v>
      </c>
      <c r="D22" s="270" t="s">
        <v>12</v>
      </c>
      <c r="E22" s="18" t="s">
        <v>43</v>
      </c>
      <c r="F22" s="18" t="s">
        <v>14</v>
      </c>
      <c r="G22" s="18" t="s">
        <v>15</v>
      </c>
      <c r="I22" s="218" t="s">
        <v>31</v>
      </c>
      <c r="J22" s="43">
        <v>12.0</v>
      </c>
      <c r="K22" s="44"/>
      <c r="L22" s="198"/>
      <c r="M22" s="199"/>
      <c r="N22" s="31"/>
    </row>
    <row r="23">
      <c r="A23" s="14"/>
      <c r="B23" s="23"/>
      <c r="C23" s="23"/>
      <c r="D23" s="270" t="s">
        <v>16</v>
      </c>
      <c r="E23" s="18" t="s">
        <v>43</v>
      </c>
      <c r="F23" s="18" t="s">
        <v>14</v>
      </c>
      <c r="G23" s="18" t="s">
        <v>15</v>
      </c>
      <c r="I23" s="207"/>
      <c r="J23" s="34"/>
      <c r="K23" s="45"/>
      <c r="L23" s="253"/>
      <c r="M23" s="201"/>
      <c r="N23" s="36"/>
    </row>
    <row r="24">
      <c r="A24" s="14"/>
      <c r="B24" s="15" t="s">
        <v>11</v>
      </c>
      <c r="C24" s="16">
        <v>13.0</v>
      </c>
      <c r="D24" s="353" t="s">
        <v>27</v>
      </c>
      <c r="E24" s="344" t="s">
        <v>30</v>
      </c>
      <c r="F24" s="354" t="s">
        <v>14</v>
      </c>
      <c r="G24" s="344" t="s">
        <v>19</v>
      </c>
      <c r="I24" s="218" t="s">
        <v>11</v>
      </c>
      <c r="J24" s="355">
        <v>13.0</v>
      </c>
      <c r="K24" s="44" t="s">
        <v>226</v>
      </c>
      <c r="L24" s="47" t="s">
        <v>30</v>
      </c>
      <c r="M24" s="348" t="s">
        <v>35</v>
      </c>
      <c r="N24" s="48" t="s">
        <v>15</v>
      </c>
    </row>
    <row r="25">
      <c r="A25" s="14"/>
      <c r="B25" s="23"/>
      <c r="C25" s="23"/>
      <c r="D25" s="345"/>
      <c r="E25" s="346"/>
      <c r="F25" s="346"/>
      <c r="G25" s="346"/>
      <c r="I25" s="356"/>
      <c r="K25" s="357"/>
      <c r="L25" s="30"/>
      <c r="M25" s="199"/>
      <c r="N25" s="31"/>
    </row>
    <row r="26">
      <c r="A26" s="14"/>
      <c r="B26" s="191" t="s">
        <v>17</v>
      </c>
      <c r="C26" s="192">
        <v>14.0</v>
      </c>
      <c r="D26" s="278" t="s">
        <v>27</v>
      </c>
      <c r="E26" s="18" t="s">
        <v>30</v>
      </c>
      <c r="F26" s="18" t="s">
        <v>26</v>
      </c>
      <c r="G26" s="19" t="s">
        <v>19</v>
      </c>
      <c r="I26" s="20"/>
      <c r="J26" s="21"/>
      <c r="K26" s="40"/>
      <c r="L26" s="40"/>
      <c r="M26" s="51"/>
      <c r="N26" s="42"/>
    </row>
    <row r="27">
      <c r="A27" s="14"/>
      <c r="B27" s="191" t="s">
        <v>21</v>
      </c>
      <c r="C27" s="192">
        <v>15.0</v>
      </c>
      <c r="D27" s="17" t="s">
        <v>27</v>
      </c>
      <c r="E27" s="18" t="s">
        <v>13</v>
      </c>
      <c r="F27" s="18" t="s">
        <v>34</v>
      </c>
      <c r="G27" s="18" t="s">
        <v>15</v>
      </c>
      <c r="I27" s="49"/>
      <c r="J27" s="216"/>
      <c r="K27" s="217"/>
      <c r="L27" s="40"/>
      <c r="M27" s="51"/>
      <c r="N27" s="42"/>
    </row>
    <row r="28">
      <c r="A28" s="14"/>
      <c r="B28" s="191" t="s">
        <v>23</v>
      </c>
      <c r="C28" s="192">
        <v>16.0</v>
      </c>
      <c r="D28" s="17" t="s">
        <v>27</v>
      </c>
      <c r="E28" s="18" t="s">
        <v>30</v>
      </c>
      <c r="F28" s="18" t="s">
        <v>14</v>
      </c>
      <c r="G28" s="18" t="s">
        <v>19</v>
      </c>
      <c r="I28" s="20"/>
      <c r="J28" s="21"/>
      <c r="K28" s="21"/>
      <c r="L28" s="50"/>
      <c r="M28" s="220"/>
      <c r="N28" s="221"/>
    </row>
    <row r="29">
      <c r="A29" s="14"/>
      <c r="B29" s="25" t="s">
        <v>25</v>
      </c>
      <c r="C29" s="26">
        <v>17.0</v>
      </c>
      <c r="D29" s="17" t="s">
        <v>12</v>
      </c>
      <c r="E29" s="18" t="s">
        <v>13</v>
      </c>
      <c r="F29" s="18" t="s">
        <v>34</v>
      </c>
      <c r="G29" s="18" t="s">
        <v>15</v>
      </c>
      <c r="I29" s="27" t="s">
        <v>25</v>
      </c>
      <c r="J29" s="46">
        <v>17.0</v>
      </c>
      <c r="K29" s="44" t="s">
        <v>200</v>
      </c>
      <c r="L29" s="358" t="s">
        <v>30</v>
      </c>
      <c r="M29" s="199" t="s">
        <v>26</v>
      </c>
      <c r="N29" s="31" t="s">
        <v>19</v>
      </c>
    </row>
    <row r="30">
      <c r="A30" s="14"/>
      <c r="B30" s="23"/>
      <c r="C30" s="23"/>
      <c r="D30" s="17" t="s">
        <v>16</v>
      </c>
      <c r="E30" s="18" t="s">
        <v>13</v>
      </c>
      <c r="F30" s="18" t="s">
        <v>34</v>
      </c>
      <c r="G30" s="18" t="s">
        <v>15</v>
      </c>
      <c r="I30" s="32"/>
      <c r="J30" s="45"/>
      <c r="K30" s="45"/>
      <c r="L30" s="351" t="s">
        <v>44</v>
      </c>
      <c r="M30" s="201"/>
      <c r="N30" s="36"/>
    </row>
    <row r="31">
      <c r="A31" s="14"/>
      <c r="B31" s="25" t="s">
        <v>29</v>
      </c>
      <c r="C31" s="26">
        <v>18.0</v>
      </c>
      <c r="D31" s="270" t="s">
        <v>12</v>
      </c>
      <c r="E31" s="18" t="s">
        <v>30</v>
      </c>
      <c r="F31" s="18" t="s">
        <v>34</v>
      </c>
      <c r="G31" s="18" t="s">
        <v>19</v>
      </c>
      <c r="I31" s="20"/>
      <c r="J31" s="21"/>
      <c r="K31" s="189"/>
      <c r="L31" s="40"/>
      <c r="M31" s="41"/>
      <c r="N31" s="42"/>
    </row>
    <row r="32">
      <c r="A32" s="14"/>
      <c r="B32" s="23"/>
      <c r="C32" s="23"/>
      <c r="D32" s="270" t="s">
        <v>16</v>
      </c>
      <c r="E32" s="18" t="s">
        <v>30</v>
      </c>
      <c r="F32" s="18" t="s">
        <v>34</v>
      </c>
      <c r="G32" s="18" t="s">
        <v>19</v>
      </c>
      <c r="I32" s="20"/>
      <c r="J32" s="21"/>
      <c r="K32" s="189"/>
      <c r="L32" s="189"/>
      <c r="M32" s="189"/>
      <c r="N32" s="190"/>
    </row>
    <row r="33">
      <c r="A33" s="14"/>
      <c r="B33" s="25" t="s">
        <v>31</v>
      </c>
      <c r="C33" s="26">
        <v>19.0</v>
      </c>
      <c r="D33" s="270" t="s">
        <v>12</v>
      </c>
      <c r="E33" s="18" t="s">
        <v>30</v>
      </c>
      <c r="F33" s="18" t="s">
        <v>26</v>
      </c>
      <c r="G33" s="18" t="s">
        <v>19</v>
      </c>
      <c r="I33" s="27" t="s">
        <v>31</v>
      </c>
      <c r="J33" s="46">
        <v>19.0</v>
      </c>
      <c r="K33" s="44" t="s">
        <v>200</v>
      </c>
      <c r="L33" s="358" t="s">
        <v>30</v>
      </c>
      <c r="M33" s="199" t="s">
        <v>14</v>
      </c>
      <c r="N33" s="48" t="s">
        <v>50</v>
      </c>
    </row>
    <row r="34">
      <c r="A34" s="14"/>
      <c r="B34" s="23"/>
      <c r="C34" s="23"/>
      <c r="D34" s="270" t="s">
        <v>16</v>
      </c>
      <c r="E34" s="18" t="s">
        <v>30</v>
      </c>
      <c r="F34" s="18" t="s">
        <v>26</v>
      </c>
      <c r="G34" s="18" t="s">
        <v>19</v>
      </c>
      <c r="I34" s="32"/>
      <c r="J34" s="45"/>
      <c r="K34" s="45"/>
      <c r="L34" s="351" t="s">
        <v>44</v>
      </c>
      <c r="M34" s="201"/>
      <c r="N34" s="36"/>
    </row>
    <row r="35">
      <c r="A35" s="14"/>
      <c r="B35" s="191" t="s">
        <v>11</v>
      </c>
      <c r="C35" s="192">
        <v>20.0</v>
      </c>
      <c r="D35" s="278" t="s">
        <v>27</v>
      </c>
      <c r="E35" s="18" t="s">
        <v>13</v>
      </c>
      <c r="F35" s="19" t="s">
        <v>14</v>
      </c>
      <c r="G35" s="18" t="s">
        <v>15</v>
      </c>
      <c r="I35" s="52"/>
      <c r="J35" s="53"/>
      <c r="K35" s="54"/>
      <c r="L35" s="40"/>
      <c r="M35" s="51"/>
      <c r="N35" s="42"/>
    </row>
    <row r="36">
      <c r="A36" s="14"/>
      <c r="B36" s="15" t="s">
        <v>17</v>
      </c>
      <c r="C36" s="16">
        <v>21.0</v>
      </c>
      <c r="D36" s="359" t="s">
        <v>32</v>
      </c>
      <c r="E36" s="360" t="s">
        <v>30</v>
      </c>
      <c r="F36" s="361" t="s">
        <v>35</v>
      </c>
      <c r="G36" s="360" t="s">
        <v>19</v>
      </c>
      <c r="I36" s="20"/>
      <c r="J36" s="21"/>
      <c r="K36" s="21"/>
      <c r="L36" s="50"/>
      <c r="M36" s="220"/>
      <c r="N36" s="221"/>
    </row>
    <row r="37">
      <c r="A37" s="14"/>
      <c r="B37" s="23"/>
      <c r="C37" s="23"/>
      <c r="D37" s="278" t="s">
        <v>27</v>
      </c>
      <c r="E37" s="18" t="s">
        <v>30</v>
      </c>
      <c r="F37" s="18" t="s">
        <v>26</v>
      </c>
      <c r="G37" s="18" t="s">
        <v>19</v>
      </c>
      <c r="I37" s="20"/>
      <c r="J37" s="21"/>
      <c r="K37" s="21"/>
      <c r="M37" s="1"/>
      <c r="N37" s="362"/>
    </row>
    <row r="38">
      <c r="A38" s="14"/>
      <c r="B38" s="191" t="s">
        <v>21</v>
      </c>
      <c r="C38" s="192">
        <v>22.0</v>
      </c>
      <c r="D38" s="17" t="s">
        <v>27</v>
      </c>
      <c r="E38" s="18" t="s">
        <v>30</v>
      </c>
      <c r="F38" s="18" t="s">
        <v>34</v>
      </c>
      <c r="G38" s="18" t="s">
        <v>19</v>
      </c>
      <c r="I38" s="20"/>
      <c r="J38" s="21"/>
      <c r="K38" s="189"/>
      <c r="L38" s="189"/>
      <c r="M38" s="189"/>
      <c r="N38" s="190"/>
    </row>
    <row r="39">
      <c r="A39" s="14"/>
      <c r="B39" s="191" t="s">
        <v>23</v>
      </c>
      <c r="C39" s="192">
        <v>23.0</v>
      </c>
      <c r="D39" s="17" t="s">
        <v>27</v>
      </c>
      <c r="E39" s="18" t="s">
        <v>13</v>
      </c>
      <c r="F39" s="18" t="s">
        <v>14</v>
      </c>
      <c r="G39" s="18" t="s">
        <v>19</v>
      </c>
      <c r="I39" s="20"/>
      <c r="J39" s="21"/>
      <c r="K39" s="21"/>
      <c r="L39" s="50"/>
      <c r="M39" s="220"/>
      <c r="N39" s="221"/>
    </row>
    <row r="40">
      <c r="A40" s="14"/>
      <c r="B40" s="25" t="s">
        <v>25</v>
      </c>
      <c r="C40" s="26">
        <v>24.0</v>
      </c>
      <c r="D40" s="17" t="s">
        <v>12</v>
      </c>
      <c r="E40" s="18" t="s">
        <v>30</v>
      </c>
      <c r="F40" s="18" t="s">
        <v>26</v>
      </c>
      <c r="G40" s="18" t="s">
        <v>15</v>
      </c>
      <c r="I40" s="27" t="s">
        <v>25</v>
      </c>
      <c r="J40" s="46">
        <v>24.0</v>
      </c>
      <c r="K40" s="44" t="s">
        <v>27</v>
      </c>
      <c r="L40" s="347" t="s">
        <v>13</v>
      </c>
      <c r="M40" s="199" t="s">
        <v>34</v>
      </c>
      <c r="N40" s="48" t="s">
        <v>19</v>
      </c>
    </row>
    <row r="41">
      <c r="A41" s="14"/>
      <c r="B41" s="23"/>
      <c r="C41" s="23"/>
      <c r="D41" s="17" t="s">
        <v>16</v>
      </c>
      <c r="E41" s="18" t="s">
        <v>30</v>
      </c>
      <c r="F41" s="18" t="s">
        <v>26</v>
      </c>
      <c r="G41" s="18" t="s">
        <v>15</v>
      </c>
      <c r="I41" s="32"/>
      <c r="J41" s="45"/>
      <c r="K41" s="45"/>
      <c r="L41" s="351" t="s">
        <v>44</v>
      </c>
      <c r="M41" s="201"/>
      <c r="N41" s="36"/>
    </row>
    <row r="42">
      <c r="A42" s="14"/>
      <c r="B42" s="25" t="s">
        <v>29</v>
      </c>
      <c r="C42" s="26">
        <v>25.0</v>
      </c>
      <c r="D42" s="270" t="s">
        <v>12</v>
      </c>
      <c r="E42" s="18" t="s">
        <v>13</v>
      </c>
      <c r="F42" s="18" t="s">
        <v>34</v>
      </c>
      <c r="G42" s="19" t="s">
        <v>50</v>
      </c>
      <c r="I42" s="20"/>
      <c r="J42" s="21"/>
      <c r="K42" s="189"/>
      <c r="L42" s="40"/>
      <c r="M42" s="41"/>
      <c r="N42" s="42"/>
    </row>
    <row r="43">
      <c r="A43" s="14"/>
      <c r="B43" s="23"/>
      <c r="C43" s="23"/>
      <c r="D43" s="270" t="s">
        <v>16</v>
      </c>
      <c r="E43" s="18" t="s">
        <v>13</v>
      </c>
      <c r="F43" s="18" t="s">
        <v>34</v>
      </c>
      <c r="G43" s="19" t="s">
        <v>50</v>
      </c>
      <c r="I43" s="20"/>
      <c r="J43" s="21"/>
      <c r="K43" s="189"/>
      <c r="L43" s="189"/>
      <c r="M43" s="189"/>
      <c r="N43" s="190"/>
    </row>
    <row r="44">
      <c r="A44" s="14"/>
      <c r="B44" s="25" t="s">
        <v>31</v>
      </c>
      <c r="C44" s="26">
        <v>26.0</v>
      </c>
      <c r="D44" s="270" t="s">
        <v>12</v>
      </c>
      <c r="E44" s="18" t="s">
        <v>13</v>
      </c>
      <c r="F44" s="18" t="s">
        <v>26</v>
      </c>
      <c r="G44" s="18" t="s">
        <v>19</v>
      </c>
      <c r="I44" s="27" t="s">
        <v>31</v>
      </c>
      <c r="J44" s="46">
        <v>26.0</v>
      </c>
      <c r="K44" s="44" t="s">
        <v>200</v>
      </c>
      <c r="L44" s="351" t="s">
        <v>43</v>
      </c>
      <c r="M44" s="199" t="s">
        <v>35</v>
      </c>
      <c r="N44" s="31" t="s">
        <v>50</v>
      </c>
    </row>
    <row r="45">
      <c r="A45" s="14"/>
      <c r="B45" s="23"/>
      <c r="C45" s="23"/>
      <c r="D45" s="270" t="s">
        <v>16</v>
      </c>
      <c r="E45" s="18" t="s">
        <v>13</v>
      </c>
      <c r="F45" s="18" t="s">
        <v>26</v>
      </c>
      <c r="G45" s="18" t="s">
        <v>19</v>
      </c>
      <c r="I45" s="32"/>
      <c r="J45" s="45"/>
      <c r="K45" s="45"/>
      <c r="L45" s="351" t="s">
        <v>30</v>
      </c>
      <c r="M45" s="201"/>
      <c r="N45" s="36"/>
    </row>
    <row r="46">
      <c r="A46" s="14"/>
      <c r="B46" s="191" t="s">
        <v>11</v>
      </c>
      <c r="C46" s="192">
        <v>27.0</v>
      </c>
      <c r="D46" s="17" t="s">
        <v>27</v>
      </c>
      <c r="E46" s="18" t="s">
        <v>30</v>
      </c>
      <c r="F46" s="19" t="s">
        <v>14</v>
      </c>
      <c r="G46" s="18" t="s">
        <v>19</v>
      </c>
      <c r="I46" s="52"/>
      <c r="J46" s="53"/>
      <c r="K46" s="54"/>
      <c r="L46" s="40"/>
      <c r="M46" s="51"/>
      <c r="N46" s="42"/>
    </row>
    <row r="47">
      <c r="A47" s="14"/>
      <c r="B47" s="15" t="s">
        <v>17</v>
      </c>
      <c r="C47" s="16">
        <v>28.0</v>
      </c>
      <c r="D47" s="343" t="s">
        <v>27</v>
      </c>
      <c r="E47" s="344" t="s">
        <v>13</v>
      </c>
      <c r="F47" s="344" t="s">
        <v>14</v>
      </c>
      <c r="G47" s="344" t="s">
        <v>19</v>
      </c>
      <c r="I47" s="27" t="s">
        <v>17</v>
      </c>
      <c r="J47" s="46">
        <v>28.0</v>
      </c>
      <c r="K47" s="44" t="s">
        <v>200</v>
      </c>
      <c r="L47" s="351" t="s">
        <v>44</v>
      </c>
      <c r="M47" s="199" t="s">
        <v>35</v>
      </c>
      <c r="N47" s="31" t="s">
        <v>15</v>
      </c>
    </row>
    <row r="48">
      <c r="A48" s="14"/>
      <c r="B48" s="23"/>
      <c r="C48" s="23"/>
      <c r="D48" s="345"/>
      <c r="E48" s="346"/>
      <c r="F48" s="346"/>
      <c r="G48" s="346"/>
      <c r="I48" s="32"/>
      <c r="J48" s="45"/>
      <c r="K48" s="45"/>
      <c r="L48" s="351" t="s">
        <v>30</v>
      </c>
      <c r="M48" s="201"/>
      <c r="N48" s="36"/>
    </row>
    <row r="49">
      <c r="A49" s="14"/>
      <c r="B49" s="191" t="s">
        <v>21</v>
      </c>
      <c r="C49" s="192">
        <v>29.0</v>
      </c>
      <c r="D49" s="17" t="s">
        <v>27</v>
      </c>
      <c r="E49" s="18" t="s">
        <v>30</v>
      </c>
      <c r="F49" s="19" t="s">
        <v>26</v>
      </c>
      <c r="G49" s="18" t="s">
        <v>15</v>
      </c>
      <c r="I49" s="52"/>
      <c r="J49" s="53"/>
      <c r="K49" s="54"/>
      <c r="L49" s="40"/>
      <c r="M49" s="51"/>
      <c r="N49" s="42"/>
    </row>
    <row r="50">
      <c r="A50" s="14"/>
      <c r="B50" s="191" t="s">
        <v>23</v>
      </c>
      <c r="C50" s="192">
        <v>30.0</v>
      </c>
      <c r="D50" s="17" t="s">
        <v>27</v>
      </c>
      <c r="E50" s="18" t="s">
        <v>13</v>
      </c>
      <c r="F50" s="18" t="s">
        <v>14</v>
      </c>
      <c r="G50" s="18" t="s">
        <v>15</v>
      </c>
      <c r="I50" s="20"/>
      <c r="J50" s="21"/>
      <c r="K50" s="21"/>
      <c r="L50" s="50"/>
      <c r="M50" s="220"/>
      <c r="N50" s="221"/>
    </row>
    <row r="51">
      <c r="A51" s="14"/>
      <c r="B51" s="25" t="s">
        <v>25</v>
      </c>
      <c r="C51" s="26">
        <v>31.0</v>
      </c>
      <c r="D51" s="17" t="s">
        <v>12</v>
      </c>
      <c r="E51" s="18" t="s">
        <v>13</v>
      </c>
      <c r="F51" s="18" t="s">
        <v>34</v>
      </c>
      <c r="G51" s="18" t="s">
        <v>15</v>
      </c>
      <c r="I51" s="27" t="s">
        <v>25</v>
      </c>
      <c r="J51" s="46">
        <v>31.0</v>
      </c>
      <c r="K51" s="44" t="s">
        <v>200</v>
      </c>
      <c r="L51" s="351" t="s">
        <v>13</v>
      </c>
      <c r="M51" s="199" t="s">
        <v>26</v>
      </c>
      <c r="N51" s="31" t="s">
        <v>19</v>
      </c>
    </row>
    <row r="52">
      <c r="A52" s="14"/>
      <c r="B52" s="23"/>
      <c r="C52" s="23"/>
      <c r="D52" s="17" t="s">
        <v>16</v>
      </c>
      <c r="E52" s="18" t="s">
        <v>13</v>
      </c>
      <c r="F52" s="18" t="s">
        <v>34</v>
      </c>
      <c r="G52" s="18" t="s">
        <v>15</v>
      </c>
      <c r="I52" s="32"/>
      <c r="J52" s="45"/>
      <c r="K52" s="45"/>
      <c r="L52" s="219" t="s">
        <v>28</v>
      </c>
      <c r="M52" s="201"/>
      <c r="N52" s="36"/>
    </row>
    <row r="53">
      <c r="A53" s="14"/>
      <c r="B53" s="191"/>
      <c r="C53" s="192"/>
      <c r="D53" s="17"/>
      <c r="E53" s="18"/>
      <c r="F53" s="193"/>
      <c r="G53" s="193"/>
      <c r="I53" s="20"/>
      <c r="J53" s="21"/>
      <c r="K53" s="21"/>
      <c r="L53" s="21"/>
      <c r="M53" s="21"/>
      <c r="N53" s="22"/>
    </row>
    <row r="54">
      <c r="E54" s="63">
        <f>COUNTIF(E4:E53, "Mira") + Countif(E4:E53, "Tuna")+ Countif(E4:E53, "Gustavo")+ Countif(E4:E53, "Pablo")+ Countif(E4:E53, "Tavares")+ Countif(E4:E53, "Sobral") + Countif(E4:E53, "Pipo")+ Countif(E4:E53, "Enfermagem")+ Countif(E4:E53, "Literatus")+ Countif(E4:E53, "Medicina")</f>
        <v>47</v>
      </c>
      <c r="F54" s="63">
        <f>Countif(F4:F53, "Gift") + Countif(F4:F53, "Monte") + Countif(F4:F53, "Sorte") + Countif(F4:F53, "Afonso") + Countif(F4:F53, "Geni") + Countif(F4:F53, "JP") + Countif(F4:F53, "Eusébio")</f>
        <v>47</v>
      </c>
      <c r="G54" s="63">
        <f>Countif(G4:G53, "Apostas") + Countif(G4:G53, "Prodígio") + Countif(G4:G53, "Poço")</f>
        <v>47</v>
      </c>
      <c r="I54" s="60"/>
      <c r="J54" s="61"/>
      <c r="K54" s="61"/>
      <c r="L54" s="61"/>
      <c r="M54" s="61"/>
      <c r="N54" s="62"/>
    </row>
    <row r="55">
      <c r="L55" s="64">
        <f>COUNTIF(L4:L54, "Mira") + Countif(L4:L54, "Tuna")+ Countif(L4:L54, "Gustavo")+ Countif(L4:L54, "Pablo")+ Countif(L4:L54, "Tavares")+ Countif(L4:L54, "Sobral") + Countif(L4:L54, "Pipo")+ Countif(L4:L54, "Enfermagem")+ Countif(L4:L54, "Literatus")+ Countif(L4:L54, "Medicina")</f>
        <v>18</v>
      </c>
      <c r="M55" s="64">
        <f>Countif(M4:M51, "Gift") + Countif(M4:M51, "Monte") + Countif(M4:M51, "Sorte") + Countif(M4:M51, "Afonso") + Countif(M4:M51, "Geni") + Countif(M4:M51, "JP")</f>
        <v>10</v>
      </c>
      <c r="N55" s="64">
        <f>Countif(N4:N51, "Apostas") + Countif(N4:N51, "Prodígio") + Countif(N4:N51, "Poço")</f>
        <v>10</v>
      </c>
    </row>
    <row r="59" ht="22.5" customHeight="1">
      <c r="D59" s="65" t="s">
        <v>36</v>
      </c>
      <c r="E59" s="65" t="s">
        <v>37</v>
      </c>
      <c r="F59" s="65" t="s">
        <v>38</v>
      </c>
      <c r="G59" s="66" t="s">
        <v>39</v>
      </c>
      <c r="H59" s="67" t="s">
        <v>40</v>
      </c>
      <c r="K59" s="65" t="s">
        <v>36</v>
      </c>
      <c r="L59" s="65" t="s">
        <v>37</v>
      </c>
      <c r="M59" s="65" t="s">
        <v>38</v>
      </c>
      <c r="N59" s="66" t="s">
        <v>39</v>
      </c>
      <c r="O59" s="67" t="s">
        <v>40</v>
      </c>
      <c r="R59" s="68" t="s">
        <v>41</v>
      </c>
    </row>
    <row r="60" ht="22.5" customHeight="1">
      <c r="C60" s="69" t="s">
        <v>42</v>
      </c>
      <c r="D60" s="70" t="s">
        <v>22</v>
      </c>
      <c r="E60" s="71">
        <f>COUNTIF(E3:E53,"Tuna")</f>
        <v>9</v>
      </c>
      <c r="F60" s="72">
        <f t="shared" ref="F60:F77" si="2">((60/3)*E60)</f>
        <v>180</v>
      </c>
      <c r="G60" s="73">
        <f>E54</f>
        <v>47</v>
      </c>
      <c r="H60" s="74">
        <f>SUM(F60:F66)</f>
        <v>940</v>
      </c>
      <c r="J60" s="69" t="s">
        <v>42</v>
      </c>
      <c r="K60" s="70" t="s">
        <v>22</v>
      </c>
      <c r="L60" s="71">
        <f>COUNTIF(L1:L51,"Tuna")</f>
        <v>0</v>
      </c>
      <c r="M60" s="72">
        <f t="shared" ref="M60:M76" si="3">((75/3)*L60)</f>
        <v>0</v>
      </c>
      <c r="N60" s="73">
        <f t="shared" ref="N60:O60" si="1">SUM(L60:L66)</f>
        <v>18</v>
      </c>
      <c r="O60" s="74">
        <f t="shared" si="1"/>
        <v>450</v>
      </c>
      <c r="Q60" s="75" t="s">
        <v>22</v>
      </c>
      <c r="R60" s="76">
        <f t="shared" ref="R60:R77" si="4">SUM(F60,M60)</f>
        <v>180</v>
      </c>
    </row>
    <row r="61" ht="22.5" customHeight="1">
      <c r="C61" s="77"/>
      <c r="D61" s="78" t="s">
        <v>30</v>
      </c>
      <c r="E61" s="79">
        <f>COUNTIF(E3:E53,"Mira")</f>
        <v>18</v>
      </c>
      <c r="F61" s="80">
        <f t="shared" si="2"/>
        <v>360</v>
      </c>
      <c r="G61" s="81"/>
      <c r="H61" s="82"/>
      <c r="J61" s="77"/>
      <c r="K61" s="78" t="s">
        <v>30</v>
      </c>
      <c r="L61" s="79">
        <f>COUNTIF(L1:L51,"Mira")</f>
        <v>8</v>
      </c>
      <c r="M61" s="80">
        <f t="shared" si="3"/>
        <v>200</v>
      </c>
      <c r="N61" s="81"/>
      <c r="O61" s="82"/>
      <c r="Q61" s="83" t="s">
        <v>30</v>
      </c>
      <c r="R61" s="76">
        <f t="shared" si="4"/>
        <v>560</v>
      </c>
    </row>
    <row r="62" ht="22.5" customHeight="1">
      <c r="C62" s="77"/>
      <c r="D62" s="78" t="s">
        <v>13</v>
      </c>
      <c r="E62" s="79">
        <f>COUNTIF(E3:E53,"Pipo")</f>
        <v>18</v>
      </c>
      <c r="F62" s="80">
        <f t="shared" si="2"/>
        <v>360</v>
      </c>
      <c r="G62" s="81"/>
      <c r="H62" s="82"/>
      <c r="J62" s="77"/>
      <c r="K62" s="78" t="s">
        <v>13</v>
      </c>
      <c r="L62" s="79">
        <f>COUNTIF(L1:L51,"Pipo")</f>
        <v>5</v>
      </c>
      <c r="M62" s="84">
        <f t="shared" si="3"/>
        <v>125</v>
      </c>
      <c r="N62" s="81"/>
      <c r="O62" s="82"/>
      <c r="Q62" s="83" t="s">
        <v>13</v>
      </c>
      <c r="R62" s="76">
        <f t="shared" si="4"/>
        <v>485</v>
      </c>
    </row>
    <row r="63" ht="22.5" customHeight="1">
      <c r="C63" s="77"/>
      <c r="D63" s="78" t="s">
        <v>43</v>
      </c>
      <c r="E63" s="79">
        <f>COUNTIF(E3:E53,"Pablo")</f>
        <v>2</v>
      </c>
      <c r="F63" s="84">
        <f t="shared" si="2"/>
        <v>40</v>
      </c>
      <c r="G63" s="81"/>
      <c r="H63" s="82"/>
      <c r="J63" s="77"/>
      <c r="K63" s="78" t="s">
        <v>43</v>
      </c>
      <c r="L63" s="79">
        <f>COUNTIF(L1:L51,"Pablo")</f>
        <v>1</v>
      </c>
      <c r="M63" s="84">
        <f t="shared" si="3"/>
        <v>25</v>
      </c>
      <c r="N63" s="81"/>
      <c r="O63" s="82"/>
      <c r="Q63" s="83" t="s">
        <v>43</v>
      </c>
      <c r="R63" s="76">
        <f t="shared" si="4"/>
        <v>65</v>
      </c>
    </row>
    <row r="64" ht="22.5" customHeight="1">
      <c r="C64" s="77"/>
      <c r="D64" s="78" t="s">
        <v>44</v>
      </c>
      <c r="E64" s="79">
        <f>COUNTIF(E3:E53,"Tavares")</f>
        <v>0</v>
      </c>
      <c r="F64" s="84">
        <f t="shared" si="2"/>
        <v>0</v>
      </c>
      <c r="G64" s="81"/>
      <c r="H64" s="82"/>
      <c r="J64" s="77"/>
      <c r="K64" s="78" t="s">
        <v>44</v>
      </c>
      <c r="L64" s="79">
        <f>COUNTIF(L1:L51,"Tavares")</f>
        <v>4</v>
      </c>
      <c r="M64" s="84">
        <f t="shared" si="3"/>
        <v>100</v>
      </c>
      <c r="N64" s="81"/>
      <c r="O64" s="82"/>
      <c r="Q64" s="83" t="s">
        <v>44</v>
      </c>
      <c r="R64" s="76">
        <f t="shared" si="4"/>
        <v>100</v>
      </c>
    </row>
    <row r="65" ht="22.5" customHeight="1">
      <c r="C65" s="77"/>
      <c r="D65" s="78" t="s">
        <v>201</v>
      </c>
      <c r="E65" s="79">
        <f>COUNTIF(E3:E53,"Gustavo")</f>
        <v>0</v>
      </c>
      <c r="F65" s="84">
        <f t="shared" si="2"/>
        <v>0</v>
      </c>
      <c r="G65" s="81"/>
      <c r="H65" s="82"/>
      <c r="J65" s="77"/>
      <c r="K65" s="78" t="s">
        <v>201</v>
      </c>
      <c r="L65" s="79">
        <f>COUNTIF(L4:L56,"Gustavo")</f>
        <v>0</v>
      </c>
      <c r="M65" s="84">
        <f t="shared" si="3"/>
        <v>0</v>
      </c>
      <c r="N65" s="81"/>
      <c r="O65" s="82"/>
      <c r="Q65" s="83" t="s">
        <v>201</v>
      </c>
      <c r="R65" s="76">
        <f t="shared" si="4"/>
        <v>0</v>
      </c>
    </row>
    <row r="66" ht="22.5" customHeight="1">
      <c r="C66" s="91"/>
      <c r="D66" s="92" t="s">
        <v>46</v>
      </c>
      <c r="E66" s="93">
        <f>COUNTIF(E3:E53,"Tomás")</f>
        <v>0</v>
      </c>
      <c r="F66" s="94">
        <f t="shared" si="2"/>
        <v>0</v>
      </c>
      <c r="G66" s="95"/>
      <c r="H66" s="96"/>
      <c r="J66" s="91"/>
      <c r="K66" s="92" t="s">
        <v>46</v>
      </c>
      <c r="L66" s="93">
        <f>COUNTIF(L2:L54,"Tomás")</f>
        <v>0</v>
      </c>
      <c r="M66" s="94">
        <f t="shared" si="3"/>
        <v>0</v>
      </c>
      <c r="N66" s="95"/>
      <c r="O66" s="96"/>
      <c r="Q66" s="97" t="s">
        <v>46</v>
      </c>
      <c r="R66" s="98">
        <f t="shared" si="4"/>
        <v>0</v>
      </c>
    </row>
    <row r="67" ht="22.5" customHeight="1">
      <c r="C67" s="69" t="s">
        <v>47</v>
      </c>
      <c r="D67" s="99" t="s">
        <v>35</v>
      </c>
      <c r="E67" s="100">
        <f>Countif(F3:F53,"Gift")</f>
        <v>1</v>
      </c>
      <c r="F67" s="101">
        <f t="shared" si="2"/>
        <v>20</v>
      </c>
      <c r="G67" s="102">
        <f>F54</f>
        <v>47</v>
      </c>
      <c r="H67" s="103">
        <f>SUM(F67:F73)</f>
        <v>940</v>
      </c>
      <c r="J67" s="69" t="s">
        <v>47</v>
      </c>
      <c r="K67" s="99" t="s">
        <v>35</v>
      </c>
      <c r="L67" s="100">
        <f>Countif(M1:M51,"Gift")</f>
        <v>4</v>
      </c>
      <c r="M67" s="101">
        <f t="shared" si="3"/>
        <v>100</v>
      </c>
      <c r="N67" s="102">
        <f t="shared" ref="N67:O67" si="5">SUM(L67:L73)</f>
        <v>10</v>
      </c>
      <c r="O67" s="103">
        <f t="shared" si="5"/>
        <v>250</v>
      </c>
      <c r="Q67" s="104" t="s">
        <v>35</v>
      </c>
      <c r="R67" s="105">
        <f t="shared" si="4"/>
        <v>120</v>
      </c>
    </row>
    <row r="68" ht="22.5" customHeight="1">
      <c r="C68" s="77"/>
      <c r="D68" s="99" t="s">
        <v>34</v>
      </c>
      <c r="E68" s="100">
        <f>Countif(F3:F53,"Monte")</f>
        <v>19</v>
      </c>
      <c r="F68" s="101">
        <f t="shared" si="2"/>
        <v>380</v>
      </c>
      <c r="G68" s="106"/>
      <c r="H68" s="82"/>
      <c r="J68" s="77"/>
      <c r="K68" s="99" t="s">
        <v>34</v>
      </c>
      <c r="L68" s="100">
        <f>Countif(M1:M51,"Monte")</f>
        <v>2</v>
      </c>
      <c r="M68" s="101">
        <f t="shared" si="3"/>
        <v>50</v>
      </c>
      <c r="N68" s="106"/>
      <c r="O68" s="82"/>
      <c r="Q68" s="83" t="s">
        <v>34</v>
      </c>
      <c r="R68" s="76">
        <f t="shared" si="4"/>
        <v>430</v>
      </c>
    </row>
    <row r="69" ht="22.5" customHeight="1">
      <c r="C69" s="77"/>
      <c r="D69" s="99" t="s">
        <v>26</v>
      </c>
      <c r="E69" s="100">
        <f>Countif(F3:F53,"Sorte")</f>
        <v>13</v>
      </c>
      <c r="F69" s="101">
        <f t="shared" si="2"/>
        <v>260</v>
      </c>
      <c r="G69" s="106"/>
      <c r="H69" s="82"/>
      <c r="J69" s="77"/>
      <c r="K69" s="99" t="s">
        <v>26</v>
      </c>
      <c r="L69" s="100">
        <f>Countif(M1:M51,"Sorte")</f>
        <v>3</v>
      </c>
      <c r="M69" s="101">
        <f t="shared" si="3"/>
        <v>75</v>
      </c>
      <c r="N69" s="106"/>
      <c r="O69" s="82"/>
      <c r="Q69" s="83" t="s">
        <v>26</v>
      </c>
      <c r="R69" s="76">
        <f t="shared" si="4"/>
        <v>335</v>
      </c>
    </row>
    <row r="70" ht="22.5" customHeight="1">
      <c r="C70" s="77"/>
      <c r="D70" s="99" t="s">
        <v>14</v>
      </c>
      <c r="E70" s="100">
        <f>Countif(F3:F53,"Afonso")</f>
        <v>13</v>
      </c>
      <c r="F70" s="101">
        <f t="shared" si="2"/>
        <v>260</v>
      </c>
      <c r="G70" s="106"/>
      <c r="H70" s="82"/>
      <c r="J70" s="77"/>
      <c r="K70" s="99" t="s">
        <v>14</v>
      </c>
      <c r="L70" s="100">
        <f>Countif(M1:M51,"Afonso")</f>
        <v>1</v>
      </c>
      <c r="M70" s="101">
        <f t="shared" si="3"/>
        <v>25</v>
      </c>
      <c r="N70" s="106"/>
      <c r="O70" s="82"/>
      <c r="Q70" s="83" t="s">
        <v>14</v>
      </c>
      <c r="R70" s="76">
        <f t="shared" si="4"/>
        <v>285</v>
      </c>
    </row>
    <row r="71" ht="22.5" customHeight="1">
      <c r="C71" s="77"/>
      <c r="D71" s="99" t="s">
        <v>18</v>
      </c>
      <c r="E71" s="107">
        <f>Countif(F3:F53,"Geni")</f>
        <v>0</v>
      </c>
      <c r="F71" s="108">
        <f t="shared" si="2"/>
        <v>0</v>
      </c>
      <c r="G71" s="106"/>
      <c r="H71" s="82"/>
      <c r="J71" s="77"/>
      <c r="K71" s="99" t="s">
        <v>18</v>
      </c>
      <c r="L71" s="100">
        <f>Countif(M1:M51,"Geni")</f>
        <v>0</v>
      </c>
      <c r="M71" s="101">
        <f t="shared" si="3"/>
        <v>0</v>
      </c>
      <c r="N71" s="106"/>
      <c r="O71" s="82"/>
      <c r="Q71" s="83" t="s">
        <v>18</v>
      </c>
      <c r="R71" s="76">
        <f t="shared" si="4"/>
        <v>0</v>
      </c>
    </row>
    <row r="72" ht="22.5" customHeight="1">
      <c r="C72" s="77"/>
      <c r="D72" s="85" t="s">
        <v>208</v>
      </c>
      <c r="E72" s="86">
        <f>Countif(F2:F52,"Eusébio")</f>
        <v>1</v>
      </c>
      <c r="F72" s="87">
        <f t="shared" si="2"/>
        <v>20</v>
      </c>
      <c r="G72" s="106"/>
      <c r="H72" s="82"/>
      <c r="J72" s="77"/>
      <c r="K72" s="85" t="s">
        <v>208</v>
      </c>
      <c r="L72" s="86">
        <f>Countif(M1:M51,"Eusébio")</f>
        <v>0</v>
      </c>
      <c r="M72" s="87">
        <f t="shared" si="3"/>
        <v>0</v>
      </c>
      <c r="N72" s="106"/>
      <c r="O72" s="82"/>
      <c r="Q72" s="97" t="s">
        <v>208</v>
      </c>
      <c r="R72" s="98">
        <f t="shared" si="4"/>
        <v>20</v>
      </c>
    </row>
    <row r="73" ht="22.5" customHeight="1">
      <c r="C73" s="91"/>
      <c r="D73" s="92" t="s">
        <v>48</v>
      </c>
      <c r="E73" s="86">
        <f>Countif(F3:F53,"JP")</f>
        <v>0</v>
      </c>
      <c r="F73" s="87">
        <f t="shared" si="2"/>
        <v>0</v>
      </c>
      <c r="G73" s="106"/>
      <c r="H73" s="82"/>
      <c r="J73" s="91"/>
      <c r="K73" s="92" t="s">
        <v>48</v>
      </c>
      <c r="L73" s="93">
        <f>Countif(M1:M51,"JP")</f>
        <v>0</v>
      </c>
      <c r="M73" s="94">
        <f t="shared" si="3"/>
        <v>0</v>
      </c>
      <c r="N73" s="106"/>
      <c r="O73" s="82"/>
      <c r="Q73" s="97" t="s">
        <v>48</v>
      </c>
      <c r="R73" s="98">
        <f t="shared" si="4"/>
        <v>0</v>
      </c>
    </row>
    <row r="74" ht="22.5" customHeight="1">
      <c r="C74" s="69" t="s">
        <v>49</v>
      </c>
      <c r="D74" s="114" t="s">
        <v>19</v>
      </c>
      <c r="E74" s="115">
        <f>Countif(G3:G53,"Apostas")</f>
        <v>23</v>
      </c>
      <c r="F74" s="112">
        <f t="shared" si="2"/>
        <v>460</v>
      </c>
      <c r="G74" s="73">
        <f>G54</f>
        <v>47</v>
      </c>
      <c r="H74" s="74">
        <f>SUM(F74:F76)</f>
        <v>940</v>
      </c>
      <c r="J74" s="69" t="s">
        <v>49</v>
      </c>
      <c r="K74" s="114" t="s">
        <v>19</v>
      </c>
      <c r="L74" s="115">
        <f>Countif(N1:N51,"Apostas")</f>
        <v>5</v>
      </c>
      <c r="M74" s="112">
        <f t="shared" si="3"/>
        <v>125</v>
      </c>
      <c r="N74" s="73">
        <f t="shared" ref="N74:O74" si="6">SUM(L74:L76)</f>
        <v>10</v>
      </c>
      <c r="O74" s="74">
        <f t="shared" si="6"/>
        <v>250</v>
      </c>
      <c r="Q74" s="104" t="s">
        <v>19</v>
      </c>
      <c r="R74" s="105">
        <f t="shared" si="4"/>
        <v>585</v>
      </c>
    </row>
    <row r="75" ht="22.5" customHeight="1">
      <c r="C75" s="77"/>
      <c r="D75" s="120" t="s">
        <v>15</v>
      </c>
      <c r="E75" s="121">
        <f>Countif(G3:G53,"Prodígio")</f>
        <v>22</v>
      </c>
      <c r="F75" s="119">
        <f t="shared" si="2"/>
        <v>440</v>
      </c>
      <c r="G75" s="81"/>
      <c r="H75" s="82"/>
      <c r="J75" s="77"/>
      <c r="K75" s="120" t="s">
        <v>15</v>
      </c>
      <c r="L75" s="121">
        <f>Countif(N1:N51,"Prodígio")</f>
        <v>3</v>
      </c>
      <c r="M75" s="119">
        <f t="shared" si="3"/>
        <v>75</v>
      </c>
      <c r="N75" s="81"/>
      <c r="O75" s="82"/>
      <c r="Q75" s="83" t="s">
        <v>15</v>
      </c>
      <c r="R75" s="76">
        <f t="shared" si="4"/>
        <v>515</v>
      </c>
    </row>
    <row r="76" ht="22.5" customHeight="1">
      <c r="C76" s="77"/>
      <c r="D76" s="120" t="s">
        <v>50</v>
      </c>
      <c r="E76" s="121">
        <f>Countif(G1:G53,"Poço")</f>
        <v>2</v>
      </c>
      <c r="F76" s="119">
        <f t="shared" si="2"/>
        <v>40</v>
      </c>
      <c r="G76" s="81"/>
      <c r="H76" s="82"/>
      <c r="J76" s="77"/>
      <c r="K76" s="120" t="s">
        <v>50</v>
      </c>
      <c r="L76" s="121">
        <f>Countif(N1:N51,"Poço")</f>
        <v>2</v>
      </c>
      <c r="M76" s="119">
        <f t="shared" si="3"/>
        <v>50</v>
      </c>
      <c r="N76" s="81"/>
      <c r="O76" s="82"/>
      <c r="Q76" s="83" t="s">
        <v>50</v>
      </c>
      <c r="R76" s="76">
        <f t="shared" si="4"/>
        <v>90</v>
      </c>
    </row>
    <row r="77" ht="22.5" customHeight="1">
      <c r="C77" s="91"/>
      <c r="D77" s="222" t="s">
        <v>24</v>
      </c>
      <c r="E77" s="128">
        <f>Countif(G2:G54,"Pedro")</f>
        <v>0</v>
      </c>
      <c r="F77" s="129">
        <f t="shared" si="2"/>
        <v>0</v>
      </c>
      <c r="G77" s="130"/>
      <c r="H77" s="127"/>
      <c r="J77" s="91"/>
      <c r="K77" s="222" t="s">
        <v>24</v>
      </c>
      <c r="L77" s="128">
        <f>Countif(N2:N51,"Pedro")</f>
        <v>0</v>
      </c>
      <c r="M77" s="129">
        <f>((60/3)*L77)</f>
        <v>0</v>
      </c>
      <c r="N77" s="130"/>
      <c r="O77" s="127"/>
      <c r="Q77" s="131" t="s">
        <v>48</v>
      </c>
      <c r="R77" s="76">
        <f t="shared" si="4"/>
        <v>0</v>
      </c>
    </row>
    <row r="78">
      <c r="H78" s="132">
        <f>SUM(H60:H76)</f>
        <v>2820</v>
      </c>
      <c r="O78" s="132">
        <f>SUM(O60:O76)</f>
        <v>950</v>
      </c>
      <c r="Q78" s="133"/>
      <c r="R78" s="134">
        <f>SUM(H78+O78)</f>
        <v>3770</v>
      </c>
    </row>
    <row r="79">
      <c r="H79" s="135"/>
      <c r="O79" s="135"/>
      <c r="Q79" s="133"/>
      <c r="R79" s="135"/>
    </row>
    <row r="82" ht="22.5" customHeight="1">
      <c r="D82" s="136" t="s">
        <v>36</v>
      </c>
      <c r="E82" s="136" t="s">
        <v>37</v>
      </c>
      <c r="F82" s="136" t="s">
        <v>38</v>
      </c>
      <c r="G82" s="137" t="s">
        <v>40</v>
      </c>
      <c r="J82" s="138" t="s">
        <v>6</v>
      </c>
      <c r="K82" s="100" t="s">
        <v>51</v>
      </c>
      <c r="Q82" s="139" t="s">
        <v>52</v>
      </c>
    </row>
    <row r="83" ht="22.5" customHeight="1">
      <c r="C83" s="140" t="s">
        <v>53</v>
      </c>
      <c r="D83" s="141" t="s">
        <v>54</v>
      </c>
      <c r="E83" s="142">
        <f>COUNTIF(E26:E53,"Medicina")</f>
        <v>0</v>
      </c>
      <c r="F83" s="143">
        <f t="shared" ref="F83:F85" si="7">((60/3)*E83)</f>
        <v>0</v>
      </c>
      <c r="G83" s="144">
        <f>SUM(F83:F85)</f>
        <v>0</v>
      </c>
      <c r="J83" s="145" t="s">
        <v>55</v>
      </c>
      <c r="K83" s="146">
        <v>20.0</v>
      </c>
      <c r="P83" s="147"/>
      <c r="Q83" s="223" t="s">
        <v>56</v>
      </c>
      <c r="R83" s="224"/>
    </row>
    <row r="84" ht="22.5" customHeight="1">
      <c r="C84" s="116"/>
      <c r="D84" s="150" t="s">
        <v>57</v>
      </c>
      <c r="E84" s="88">
        <f>COUNTIF(E26:E53,"Literatus")</f>
        <v>0</v>
      </c>
      <c r="F84" s="151">
        <f t="shared" si="7"/>
        <v>0</v>
      </c>
      <c r="G84" s="152"/>
      <c r="J84" s="153" t="s">
        <v>58</v>
      </c>
      <c r="K84" s="154">
        <v>20.0</v>
      </c>
      <c r="P84" s="155"/>
      <c r="Q84" s="225" t="s">
        <v>59</v>
      </c>
      <c r="R84" s="226"/>
    </row>
    <row r="85" ht="22.5" customHeight="1">
      <c r="C85" s="124"/>
      <c r="D85" s="158" t="s">
        <v>60</v>
      </c>
      <c r="E85" s="159">
        <f>COUNTIF(E26:E53,"Enfermagem")</f>
        <v>0</v>
      </c>
      <c r="F85" s="160">
        <f t="shared" si="7"/>
        <v>0</v>
      </c>
      <c r="G85" s="161"/>
      <c r="J85" s="153" t="s">
        <v>61</v>
      </c>
      <c r="K85" s="154">
        <v>20.0</v>
      </c>
      <c r="P85" s="162"/>
      <c r="Q85" s="225" t="s">
        <v>62</v>
      </c>
      <c r="R85" s="226"/>
    </row>
    <row r="86" ht="22.5" customHeight="1">
      <c r="G86" s="163">
        <f>SUM(G83:G85)</f>
        <v>0</v>
      </c>
      <c r="J86" s="164" t="s">
        <v>63</v>
      </c>
      <c r="K86" s="165">
        <v>20.0</v>
      </c>
      <c r="P86" s="166"/>
      <c r="Q86" s="223" t="s">
        <v>64</v>
      </c>
      <c r="R86" s="224"/>
    </row>
    <row r="87">
      <c r="G87" s="161"/>
      <c r="P87" s="167" t="s">
        <v>65</v>
      </c>
      <c r="Q87" s="225" t="s">
        <v>66</v>
      </c>
      <c r="R87" s="226"/>
    </row>
    <row r="88">
      <c r="P88" s="168" t="s">
        <v>65</v>
      </c>
      <c r="Q88" s="225" t="s">
        <v>202</v>
      </c>
      <c r="R88" s="226"/>
    </row>
    <row r="89">
      <c r="P89" s="169" t="s">
        <v>28</v>
      </c>
      <c r="Q89" s="225" t="s">
        <v>203</v>
      </c>
      <c r="R89" s="226"/>
    </row>
    <row r="90">
      <c r="P90" s="170"/>
      <c r="Q90" s="225" t="s">
        <v>69</v>
      </c>
      <c r="R90" s="226"/>
    </row>
    <row r="91">
      <c r="P91" s="171" t="s">
        <v>65</v>
      </c>
      <c r="Q91" s="225" t="s">
        <v>68</v>
      </c>
      <c r="R91" s="226"/>
    </row>
    <row r="92">
      <c r="P92" s="172">
        <v>46.0</v>
      </c>
      <c r="Q92" s="225" t="s">
        <v>71</v>
      </c>
      <c r="R92" s="226"/>
    </row>
  </sheetData>
  <mergeCells count="104">
    <mergeCell ref="B8:B9"/>
    <mergeCell ref="C8:C9"/>
    <mergeCell ref="B10:B12"/>
    <mergeCell ref="C10:C12"/>
    <mergeCell ref="B14:B15"/>
    <mergeCell ref="C14:C15"/>
    <mergeCell ref="C18:C19"/>
    <mergeCell ref="B18:B19"/>
    <mergeCell ref="B20:B21"/>
    <mergeCell ref="B22:B23"/>
    <mergeCell ref="B24:B25"/>
    <mergeCell ref="B29:B30"/>
    <mergeCell ref="C29:C30"/>
    <mergeCell ref="C31:C32"/>
    <mergeCell ref="B47:B48"/>
    <mergeCell ref="B51:B52"/>
    <mergeCell ref="C51:C52"/>
    <mergeCell ref="C60:C66"/>
    <mergeCell ref="C67:C73"/>
    <mergeCell ref="C74:C77"/>
    <mergeCell ref="C83:C85"/>
    <mergeCell ref="B40:B41"/>
    <mergeCell ref="C40:C41"/>
    <mergeCell ref="B42:B43"/>
    <mergeCell ref="C42:C43"/>
    <mergeCell ref="B44:B45"/>
    <mergeCell ref="C44:C45"/>
    <mergeCell ref="C47:C48"/>
    <mergeCell ref="J40:J41"/>
    <mergeCell ref="K40:K41"/>
    <mergeCell ref="I29:I30"/>
    <mergeCell ref="J29:J30"/>
    <mergeCell ref="K29:K30"/>
    <mergeCell ref="I33:I34"/>
    <mergeCell ref="J33:J34"/>
    <mergeCell ref="K33:K34"/>
    <mergeCell ref="I40:I41"/>
    <mergeCell ref="N67:N73"/>
    <mergeCell ref="O67:O73"/>
    <mergeCell ref="N74:N77"/>
    <mergeCell ref="O74:O77"/>
    <mergeCell ref="O78:O79"/>
    <mergeCell ref="R78:R79"/>
    <mergeCell ref="Q82:R82"/>
    <mergeCell ref="I51:I52"/>
    <mergeCell ref="J51:J52"/>
    <mergeCell ref="K51:K52"/>
    <mergeCell ref="H60:H66"/>
    <mergeCell ref="J60:J66"/>
    <mergeCell ref="N60:N66"/>
    <mergeCell ref="O60:O66"/>
    <mergeCell ref="G74:G77"/>
    <mergeCell ref="G83:G85"/>
    <mergeCell ref="G86:G87"/>
    <mergeCell ref="G60:G66"/>
    <mergeCell ref="G67:G73"/>
    <mergeCell ref="H67:H73"/>
    <mergeCell ref="J67:J73"/>
    <mergeCell ref="H74:H77"/>
    <mergeCell ref="J74:J77"/>
    <mergeCell ref="H78:H79"/>
    <mergeCell ref="B1:C1"/>
    <mergeCell ref="B2:G2"/>
    <mergeCell ref="J2:K2"/>
    <mergeCell ref="I3:N3"/>
    <mergeCell ref="B6:B7"/>
    <mergeCell ref="C6:C7"/>
    <mergeCell ref="I6:I7"/>
    <mergeCell ref="C20:C21"/>
    <mergeCell ref="C22:C23"/>
    <mergeCell ref="C24:C25"/>
    <mergeCell ref="D24:D25"/>
    <mergeCell ref="E24:E25"/>
    <mergeCell ref="F24:F25"/>
    <mergeCell ref="G24:G25"/>
    <mergeCell ref="J6:J7"/>
    <mergeCell ref="K6:K7"/>
    <mergeCell ref="I11:I12"/>
    <mergeCell ref="J11:J12"/>
    <mergeCell ref="K11:K12"/>
    <mergeCell ref="J18:J19"/>
    <mergeCell ref="K18:K19"/>
    <mergeCell ref="I18:I19"/>
    <mergeCell ref="I22:I23"/>
    <mergeCell ref="J22:J23"/>
    <mergeCell ref="K22:K23"/>
    <mergeCell ref="I24:I25"/>
    <mergeCell ref="J24:J25"/>
    <mergeCell ref="K24:K25"/>
    <mergeCell ref="B31:B32"/>
    <mergeCell ref="B33:B34"/>
    <mergeCell ref="B36:B37"/>
    <mergeCell ref="C33:C34"/>
    <mergeCell ref="C36:C37"/>
    <mergeCell ref="D47:D48"/>
    <mergeCell ref="E47:E48"/>
    <mergeCell ref="F47:F48"/>
    <mergeCell ref="G47:G48"/>
    <mergeCell ref="I44:I45"/>
    <mergeCell ref="J44:J45"/>
    <mergeCell ref="K44:K45"/>
    <mergeCell ref="I47:I48"/>
    <mergeCell ref="J47:J48"/>
    <mergeCell ref="K47:K48"/>
  </mergeCells>
  <conditionalFormatting sqref="C82">
    <cfRule type="notContainsBlanks" dxfId="7" priority="1">
      <formula>LEN(TRIM(C82))&gt;0</formula>
    </cfRule>
  </conditionalFormatting>
  <dataValidations>
    <dataValidation type="list" allowBlank="1" showErrorMessage="1" sqref="F4:F24 F26:F47 F49:F53">
      <formula1>"Gift,Monte,Sorte,Afonso,Geni,JP,Eusébio,-"</formula1>
    </dataValidation>
    <dataValidation type="list" allowBlank="1" showErrorMessage="1" sqref="E4:E24 E26:E47 E49:E53">
      <formula1>"Tuna,Pipo,Mira,Pablo,Gustavo,Tavares,Tomás,Medicina,Literatus,Enfermagem,-"</formula1>
    </dataValidation>
    <dataValidation type="list" allowBlank="1" showErrorMessage="1" sqref="G4">
      <formula1>"Apostas,Prodígio,Poço,Pedro,-"</formula1>
    </dataValidation>
    <dataValidation type="list" allowBlank="1" showErrorMessage="1" sqref="N6 N11 N18 N22 G5:G24 N24:N25 N29 N33 N40 N44 G26:G47 N47 N51 G49:G53">
      <formula1>"Apostas,Prodígio,Poço,-"</formula1>
    </dataValidation>
    <dataValidation type="list" allowBlank="1" showErrorMessage="1" sqref="P87">
      <formula1>"Nome"</formula1>
    </dataValidation>
    <dataValidation type="list" allowBlank="1" showErrorMessage="1" sqref="P89">
      <formula1>"-"</formula1>
    </dataValidation>
    <dataValidation type="list" allowBlank="1" showErrorMessage="1" sqref="P88">
      <formula1>"Nome"</formula1>
    </dataValidation>
    <dataValidation type="list" allowBlank="1" showErrorMessage="1" sqref="D4:D24 K24 D26:D47 D49:D53">
      <formula1>"19h00,18h00,19h30,21h00,21h30,16h00"</formula1>
    </dataValidation>
    <dataValidation type="list" allowBlank="1" showErrorMessage="1" sqref="K6 K11 K18 K22 K29 K33 K40 K44 K47 K51">
      <formula1>"17h00,19h00"</formula1>
    </dataValidation>
    <dataValidation type="list" allowBlank="1" showErrorMessage="1" sqref="L6:L7 L11:L12 L18:L19 L22:L25 L29:L30 L33:L34 L40:L41 L44:L45 L47:L48 L51:L52">
      <formula1>"Tuna,Gustavo,Mira,Pablo,Tavares,Pipo,Sobral,Medicina,Literatus,Enfermagem,-"</formula1>
    </dataValidation>
    <dataValidation type="list" allowBlank="1" showErrorMessage="1" sqref="P90">
      <formula1>" -"</formula1>
    </dataValidation>
    <dataValidation type="list" allowBlank="1" showErrorMessage="1" sqref="M6 M11 M18 M22 M24:M25 M29 M33 M40 M44 M47 M51">
      <formula1>"Gift,Monte,Sorte,Afonso,Geni,JP,-"</formula1>
    </dataValidation>
    <dataValidation type="custom" allowBlank="1" showDropDown="1" sqref="F60:F77 M60:M77 F83:F85 K83:K86">
      <formula1>AND(ISNUMBER(F60),(NOT(OR(NOT(ISERROR(DATEVALUE(F60))), AND(ISNUMBER(F60), LEFT(CELL("format", F60))="D")))))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4" max="14" width="13.75"/>
  </cols>
  <sheetData>
    <row r="1">
      <c r="A1" s="1"/>
      <c r="B1" s="2" t="s">
        <v>1</v>
      </c>
    </row>
    <row r="2">
      <c r="A2" s="3"/>
      <c r="B2" s="4" t="s">
        <v>227</v>
      </c>
      <c r="I2" s="363" t="s">
        <v>3</v>
      </c>
      <c r="J2" s="364">
        <f>TODAY()</f>
        <v>46182</v>
      </c>
      <c r="K2" s="365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</row>
    <row r="4">
      <c r="A4" s="14"/>
      <c r="B4" s="191" t="s">
        <v>11</v>
      </c>
      <c r="C4" s="192">
        <v>1.0</v>
      </c>
      <c r="D4" s="17" t="s">
        <v>27</v>
      </c>
      <c r="E4" s="18" t="s">
        <v>22</v>
      </c>
      <c r="F4" s="18" t="s">
        <v>26</v>
      </c>
      <c r="G4" s="18" t="s">
        <v>15</v>
      </c>
      <c r="M4" s="1"/>
    </row>
    <row r="5">
      <c r="A5" s="14"/>
      <c r="B5" s="191" t="s">
        <v>17</v>
      </c>
      <c r="C5" s="192">
        <v>2.0</v>
      </c>
      <c r="D5" s="17" t="s">
        <v>27</v>
      </c>
      <c r="E5" s="19" t="s">
        <v>22</v>
      </c>
      <c r="F5" s="18" t="s">
        <v>26</v>
      </c>
      <c r="G5" s="18" t="s">
        <v>19</v>
      </c>
    </row>
    <row r="6">
      <c r="A6" s="14"/>
      <c r="B6" s="191" t="s">
        <v>21</v>
      </c>
      <c r="C6" s="192">
        <v>3.0</v>
      </c>
      <c r="D6" s="17" t="s">
        <v>27</v>
      </c>
      <c r="E6" s="18" t="s">
        <v>22</v>
      </c>
      <c r="F6" s="18" t="s">
        <v>26</v>
      </c>
      <c r="G6" s="18" t="s">
        <v>19</v>
      </c>
    </row>
    <row r="7">
      <c r="A7" s="14"/>
      <c r="B7" s="191" t="s">
        <v>23</v>
      </c>
      <c r="C7" s="192">
        <v>4.0</v>
      </c>
      <c r="D7" s="17" t="s">
        <v>27</v>
      </c>
      <c r="E7" s="19" t="s">
        <v>30</v>
      </c>
      <c r="F7" s="18" t="s">
        <v>34</v>
      </c>
      <c r="G7" s="19" t="s">
        <v>19</v>
      </c>
      <c r="I7" s="366"/>
      <c r="J7" s="1" t="s">
        <v>228</v>
      </c>
    </row>
    <row r="8">
      <c r="A8" s="14"/>
      <c r="B8" s="25" t="s">
        <v>25</v>
      </c>
      <c r="C8" s="26">
        <v>5.0</v>
      </c>
      <c r="D8" s="17" t="s">
        <v>12</v>
      </c>
      <c r="E8" s="19" t="s">
        <v>30</v>
      </c>
      <c r="F8" s="19" t="s">
        <v>26</v>
      </c>
      <c r="G8" s="19" t="s">
        <v>19</v>
      </c>
      <c r="M8" s="1"/>
    </row>
    <row r="9">
      <c r="A9" s="14"/>
      <c r="B9" s="23"/>
      <c r="C9" s="23"/>
      <c r="D9" s="17" t="s">
        <v>16</v>
      </c>
      <c r="E9" s="19" t="s">
        <v>30</v>
      </c>
      <c r="F9" s="19" t="s">
        <v>26</v>
      </c>
      <c r="G9" s="19" t="s">
        <v>19</v>
      </c>
    </row>
    <row r="10">
      <c r="A10" s="14"/>
      <c r="B10" s="25" t="s">
        <v>29</v>
      </c>
      <c r="C10" s="26">
        <v>6.0</v>
      </c>
      <c r="D10" s="17" t="s">
        <v>12</v>
      </c>
      <c r="E10" s="19" t="s">
        <v>43</v>
      </c>
      <c r="F10" s="18" t="s">
        <v>34</v>
      </c>
      <c r="G10" s="19" t="s">
        <v>19</v>
      </c>
      <c r="M10" s="1"/>
    </row>
    <row r="11">
      <c r="A11" s="14"/>
      <c r="B11" s="23"/>
      <c r="C11" s="23"/>
      <c r="D11" s="17" t="s">
        <v>16</v>
      </c>
      <c r="E11" s="19" t="s">
        <v>43</v>
      </c>
      <c r="F11" s="18" t="s">
        <v>34</v>
      </c>
      <c r="G11" s="19" t="s">
        <v>19</v>
      </c>
      <c r="M11" s="1"/>
    </row>
    <row r="12">
      <c r="A12" s="14"/>
      <c r="B12" s="25" t="s">
        <v>31</v>
      </c>
      <c r="C12" s="26">
        <v>7.0</v>
      </c>
      <c r="D12" s="17" t="s">
        <v>12</v>
      </c>
      <c r="E12" s="18" t="s">
        <v>44</v>
      </c>
      <c r="F12" s="18" t="s">
        <v>34</v>
      </c>
      <c r="G12" s="19" t="s">
        <v>19</v>
      </c>
      <c r="M12" s="1"/>
    </row>
    <row r="13">
      <c r="A13" s="14"/>
      <c r="B13" s="23"/>
      <c r="C13" s="23"/>
      <c r="D13" s="17" t="s">
        <v>16</v>
      </c>
      <c r="E13" s="18" t="s">
        <v>44</v>
      </c>
      <c r="F13" s="18" t="s">
        <v>34</v>
      </c>
      <c r="G13" s="19" t="s">
        <v>19</v>
      </c>
    </row>
    <row r="14">
      <c r="A14" s="14"/>
      <c r="B14" s="191" t="s">
        <v>11</v>
      </c>
      <c r="C14" s="192">
        <v>8.0</v>
      </c>
      <c r="D14" s="17" t="s">
        <v>27</v>
      </c>
      <c r="E14" s="19" t="s">
        <v>30</v>
      </c>
      <c r="F14" s="18" t="s">
        <v>26</v>
      </c>
      <c r="G14" s="18" t="s">
        <v>15</v>
      </c>
      <c r="I14" s="367"/>
      <c r="J14" s="367"/>
      <c r="K14" s="367"/>
      <c r="L14" s="367"/>
      <c r="M14" s="367"/>
      <c r="N14" s="367"/>
      <c r="O14" s="367"/>
      <c r="P14" s="367"/>
      <c r="Q14" s="367"/>
    </row>
    <row r="15">
      <c r="A15" s="14"/>
      <c r="B15" s="15" t="s">
        <v>17</v>
      </c>
      <c r="C15" s="16">
        <v>9.0</v>
      </c>
      <c r="D15" s="17" t="s">
        <v>32</v>
      </c>
      <c r="E15" s="18" t="s">
        <v>13</v>
      </c>
      <c r="F15" s="19" t="s">
        <v>26</v>
      </c>
      <c r="G15" s="19" t="s">
        <v>15</v>
      </c>
      <c r="I15" s="367"/>
      <c r="J15" s="367"/>
      <c r="K15" s="367"/>
      <c r="L15" s="367"/>
      <c r="M15" s="367"/>
      <c r="N15" s="367"/>
      <c r="O15" s="367"/>
      <c r="P15" s="367"/>
      <c r="Q15" s="367"/>
    </row>
    <row r="16">
      <c r="A16" s="14"/>
      <c r="B16" s="23"/>
      <c r="C16" s="23"/>
      <c r="D16" s="17" t="s">
        <v>27</v>
      </c>
      <c r="E16" s="18" t="s">
        <v>13</v>
      </c>
      <c r="F16" s="18" t="s">
        <v>26</v>
      </c>
      <c r="G16" s="19" t="s">
        <v>50</v>
      </c>
      <c r="I16" s="367"/>
      <c r="J16" s="367"/>
      <c r="K16" s="367"/>
      <c r="L16" s="367"/>
      <c r="M16" s="367"/>
      <c r="N16" s="367"/>
      <c r="O16" s="367"/>
      <c r="P16" s="367"/>
      <c r="Q16" s="367"/>
    </row>
    <row r="17">
      <c r="A17" s="14"/>
      <c r="B17" s="191" t="s">
        <v>21</v>
      </c>
      <c r="C17" s="192">
        <v>10.0</v>
      </c>
      <c r="D17" s="17" t="s">
        <v>27</v>
      </c>
      <c r="E17" s="18" t="s">
        <v>13</v>
      </c>
      <c r="F17" s="18" t="s">
        <v>34</v>
      </c>
      <c r="G17" s="18" t="s">
        <v>50</v>
      </c>
      <c r="I17" s="367"/>
      <c r="J17" s="367"/>
      <c r="K17" s="367"/>
      <c r="L17" s="367"/>
      <c r="M17" s="367"/>
      <c r="N17" s="367"/>
      <c r="O17" s="367"/>
      <c r="P17" s="367"/>
      <c r="Q17" s="367"/>
    </row>
    <row r="18">
      <c r="A18" s="14"/>
      <c r="B18" s="191" t="s">
        <v>23</v>
      </c>
      <c r="C18" s="192">
        <v>11.0</v>
      </c>
      <c r="D18" s="17" t="s">
        <v>27</v>
      </c>
      <c r="E18" s="18" t="s">
        <v>13</v>
      </c>
      <c r="F18" s="18" t="s">
        <v>34</v>
      </c>
      <c r="G18" s="19" t="s">
        <v>15</v>
      </c>
      <c r="I18" s="367"/>
      <c r="J18" s="367"/>
      <c r="K18" s="367"/>
      <c r="L18" s="367"/>
      <c r="M18" s="367"/>
      <c r="N18" s="367"/>
      <c r="O18" s="367"/>
      <c r="P18" s="367"/>
      <c r="Q18" s="367"/>
    </row>
    <row r="19">
      <c r="A19" s="14"/>
      <c r="B19" s="25" t="s">
        <v>25</v>
      </c>
      <c r="C19" s="26">
        <v>12.0</v>
      </c>
      <c r="D19" s="17" t="s">
        <v>12</v>
      </c>
      <c r="E19" s="19" t="s">
        <v>30</v>
      </c>
      <c r="F19" s="18" t="s">
        <v>26</v>
      </c>
      <c r="G19" s="18" t="s">
        <v>50</v>
      </c>
      <c r="I19" s="367"/>
      <c r="J19" s="367"/>
      <c r="K19" s="367"/>
      <c r="L19" s="367"/>
      <c r="M19" s="367"/>
      <c r="N19" s="367"/>
      <c r="O19" s="367"/>
      <c r="P19" s="367"/>
      <c r="Q19" s="367"/>
    </row>
    <row r="20">
      <c r="A20" s="14"/>
      <c r="B20" s="23"/>
      <c r="C20" s="23"/>
      <c r="D20" s="17" t="s">
        <v>16</v>
      </c>
      <c r="E20" s="19" t="s">
        <v>30</v>
      </c>
      <c r="F20" s="18" t="s">
        <v>26</v>
      </c>
      <c r="G20" s="18" t="s">
        <v>50</v>
      </c>
      <c r="I20" s="367"/>
      <c r="J20" s="367"/>
      <c r="K20" s="367"/>
      <c r="L20" s="367"/>
      <c r="M20" s="367"/>
      <c r="N20" s="367"/>
      <c r="O20" s="367"/>
      <c r="P20" s="367"/>
      <c r="Q20" s="367"/>
    </row>
    <row r="21">
      <c r="A21" s="14"/>
      <c r="B21" s="25" t="s">
        <v>29</v>
      </c>
      <c r="C21" s="26">
        <v>13.0</v>
      </c>
      <c r="D21" s="17" t="s">
        <v>12</v>
      </c>
      <c r="E21" s="18" t="s">
        <v>13</v>
      </c>
      <c r="F21" s="18" t="s">
        <v>34</v>
      </c>
      <c r="G21" s="18" t="s">
        <v>15</v>
      </c>
      <c r="I21" s="367"/>
      <c r="J21" s="367"/>
      <c r="K21" s="367"/>
      <c r="L21" s="367"/>
      <c r="M21" s="367"/>
      <c r="N21" s="367"/>
      <c r="O21" s="367"/>
      <c r="P21" s="367"/>
      <c r="Q21" s="367"/>
    </row>
    <row r="22">
      <c r="A22" s="14"/>
      <c r="B22" s="23"/>
      <c r="C22" s="23"/>
      <c r="D22" s="17" t="s">
        <v>16</v>
      </c>
      <c r="E22" s="18" t="s">
        <v>13</v>
      </c>
      <c r="F22" s="18" t="s">
        <v>34</v>
      </c>
      <c r="G22" s="18" t="s">
        <v>15</v>
      </c>
      <c r="I22" s="367"/>
      <c r="J22" s="367"/>
      <c r="K22" s="367"/>
      <c r="L22" s="367"/>
      <c r="M22" s="367"/>
      <c r="N22" s="367"/>
      <c r="O22" s="367"/>
      <c r="P22" s="367"/>
      <c r="Q22" s="367"/>
    </row>
    <row r="23">
      <c r="A23" s="14"/>
      <c r="B23" s="25" t="s">
        <v>31</v>
      </c>
      <c r="C23" s="26">
        <v>14.0</v>
      </c>
      <c r="D23" s="17" t="s">
        <v>12</v>
      </c>
      <c r="E23" s="18" t="s">
        <v>30</v>
      </c>
      <c r="F23" s="18" t="s">
        <v>35</v>
      </c>
      <c r="G23" s="18" t="s">
        <v>15</v>
      </c>
    </row>
    <row r="24">
      <c r="A24" s="14"/>
      <c r="B24" s="23"/>
      <c r="C24" s="23"/>
      <c r="D24" s="17" t="s">
        <v>16</v>
      </c>
      <c r="E24" s="18" t="s">
        <v>30</v>
      </c>
      <c r="F24" s="18" t="s">
        <v>35</v>
      </c>
      <c r="G24" s="18" t="s">
        <v>15</v>
      </c>
      <c r="I24" s="368" t="s">
        <v>10</v>
      </c>
      <c r="J24" s="12"/>
      <c r="K24" s="12"/>
      <c r="L24" s="12"/>
      <c r="M24" s="12"/>
      <c r="N24" s="13"/>
    </row>
    <row r="25">
      <c r="A25" s="14"/>
      <c r="B25" s="191" t="s">
        <v>11</v>
      </c>
      <c r="C25" s="192">
        <v>15.0</v>
      </c>
      <c r="D25" s="17" t="s">
        <v>27</v>
      </c>
      <c r="E25" s="18" t="s">
        <v>13</v>
      </c>
      <c r="F25" s="18" t="s">
        <v>14</v>
      </c>
      <c r="G25" s="18" t="s">
        <v>19</v>
      </c>
      <c r="I25" s="20"/>
      <c r="J25" s="21"/>
      <c r="K25" s="21"/>
      <c r="L25" s="21"/>
      <c r="M25" s="21"/>
      <c r="N25" s="22"/>
    </row>
    <row r="26">
      <c r="A26" s="14"/>
      <c r="B26" s="191" t="s">
        <v>17</v>
      </c>
      <c r="C26" s="192">
        <v>16.0</v>
      </c>
      <c r="D26" s="17" t="s">
        <v>27</v>
      </c>
      <c r="E26" s="19" t="s">
        <v>30</v>
      </c>
      <c r="F26" s="18" t="s">
        <v>14</v>
      </c>
      <c r="G26" s="18" t="s">
        <v>19</v>
      </c>
      <c r="I26" s="20"/>
      <c r="J26" s="21"/>
      <c r="K26" s="21"/>
      <c r="L26" s="21"/>
      <c r="M26" s="21"/>
      <c r="N26" s="22"/>
    </row>
    <row r="27">
      <c r="A27" s="14"/>
      <c r="B27" s="191" t="s">
        <v>21</v>
      </c>
      <c r="C27" s="192">
        <v>17.0</v>
      </c>
      <c r="D27" s="17" t="s">
        <v>27</v>
      </c>
      <c r="E27" s="18" t="s">
        <v>13</v>
      </c>
      <c r="F27" s="18" t="s">
        <v>14</v>
      </c>
      <c r="G27" s="18" t="s">
        <v>15</v>
      </c>
      <c r="I27" s="20"/>
      <c r="J27" s="21"/>
      <c r="K27" s="21"/>
      <c r="L27" s="21"/>
      <c r="M27" s="21"/>
      <c r="N27" s="22"/>
    </row>
    <row r="28">
      <c r="A28" s="14"/>
      <c r="B28" s="191" t="s">
        <v>23</v>
      </c>
      <c r="C28" s="192">
        <v>18.0</v>
      </c>
      <c r="D28" s="17" t="s">
        <v>27</v>
      </c>
      <c r="E28" s="18" t="s">
        <v>13</v>
      </c>
      <c r="F28" s="18" t="s">
        <v>35</v>
      </c>
      <c r="G28" s="18" t="s">
        <v>15</v>
      </c>
      <c r="I28" s="20"/>
      <c r="J28" s="21"/>
      <c r="K28" s="21"/>
      <c r="L28" s="21"/>
      <c r="M28" s="21"/>
      <c r="N28" s="22"/>
    </row>
    <row r="29">
      <c r="A29" s="14"/>
      <c r="B29" s="25" t="s">
        <v>25</v>
      </c>
      <c r="C29" s="26">
        <v>19.0</v>
      </c>
      <c r="D29" s="17" t="s">
        <v>12</v>
      </c>
      <c r="E29" s="18" t="s">
        <v>44</v>
      </c>
      <c r="F29" s="18" t="s">
        <v>26</v>
      </c>
      <c r="G29" s="18" t="s">
        <v>15</v>
      </c>
      <c r="I29" s="27" t="s">
        <v>25</v>
      </c>
      <c r="J29" s="46">
        <v>19.0</v>
      </c>
      <c r="K29" s="44" t="s">
        <v>200</v>
      </c>
      <c r="L29" s="30" t="s">
        <v>28</v>
      </c>
      <c r="M29" s="30" t="s">
        <v>28</v>
      </c>
      <c r="N29" s="214" t="s">
        <v>28</v>
      </c>
    </row>
    <row r="30">
      <c r="A30" s="14"/>
      <c r="B30" s="23"/>
      <c r="C30" s="23"/>
      <c r="D30" s="17" t="s">
        <v>16</v>
      </c>
      <c r="E30" s="18" t="s">
        <v>44</v>
      </c>
      <c r="F30" s="18" t="s">
        <v>26</v>
      </c>
      <c r="G30" s="18" t="s">
        <v>15</v>
      </c>
      <c r="I30" s="32"/>
      <c r="J30" s="45"/>
      <c r="K30" s="45"/>
      <c r="L30" s="30" t="s">
        <v>28</v>
      </c>
      <c r="M30" s="320"/>
      <c r="N30" s="22"/>
    </row>
    <row r="31">
      <c r="A31" s="14"/>
      <c r="B31" s="25" t="s">
        <v>29</v>
      </c>
      <c r="C31" s="26">
        <v>20.0</v>
      </c>
      <c r="D31" s="17" t="s">
        <v>12</v>
      </c>
      <c r="E31" s="18" t="s">
        <v>13</v>
      </c>
      <c r="F31" s="18" t="s">
        <v>34</v>
      </c>
      <c r="G31" s="18" t="s">
        <v>19</v>
      </c>
      <c r="I31" s="20"/>
      <c r="J31" s="21"/>
      <c r="K31" s="21"/>
      <c r="L31" s="21"/>
      <c r="M31" s="320"/>
      <c r="N31" s="22"/>
    </row>
    <row r="32">
      <c r="A32" s="14"/>
      <c r="B32" s="23"/>
      <c r="C32" s="23"/>
      <c r="D32" s="17" t="s">
        <v>16</v>
      </c>
      <c r="E32" s="18" t="s">
        <v>13</v>
      </c>
      <c r="F32" s="18" t="s">
        <v>34</v>
      </c>
      <c r="G32" s="18" t="s">
        <v>19</v>
      </c>
      <c r="I32" s="20"/>
      <c r="J32" s="21"/>
      <c r="K32" s="21"/>
      <c r="L32" s="21"/>
      <c r="M32" s="21"/>
      <c r="N32" s="22"/>
    </row>
    <row r="33">
      <c r="A33" s="14"/>
      <c r="B33" s="25" t="s">
        <v>31</v>
      </c>
      <c r="C33" s="26">
        <v>21.0</v>
      </c>
      <c r="D33" s="17" t="s">
        <v>12</v>
      </c>
      <c r="E33" s="19" t="s">
        <v>201</v>
      </c>
      <c r="F33" s="18" t="s">
        <v>34</v>
      </c>
      <c r="G33" s="18" t="s">
        <v>15</v>
      </c>
      <c r="I33" s="27" t="s">
        <v>31</v>
      </c>
      <c r="J33" s="46">
        <v>21.0</v>
      </c>
      <c r="K33" s="44" t="s">
        <v>200</v>
      </c>
      <c r="L33" s="30" t="s">
        <v>28</v>
      </c>
      <c r="M33" s="30" t="s">
        <v>28</v>
      </c>
      <c r="N33" s="214" t="s">
        <v>28</v>
      </c>
    </row>
    <row r="34">
      <c r="A34" s="14"/>
      <c r="B34" s="23"/>
      <c r="C34" s="23"/>
      <c r="D34" s="17" t="s">
        <v>16</v>
      </c>
      <c r="E34" s="19" t="s">
        <v>201</v>
      </c>
      <c r="F34" s="18" t="s">
        <v>34</v>
      </c>
      <c r="G34" s="18" t="s">
        <v>15</v>
      </c>
      <c r="I34" s="32"/>
      <c r="J34" s="45"/>
      <c r="K34" s="45"/>
      <c r="L34" s="30" t="s">
        <v>28</v>
      </c>
      <c r="M34" s="320"/>
      <c r="N34" s="22"/>
    </row>
    <row r="35">
      <c r="A35" s="14"/>
      <c r="B35" s="191" t="s">
        <v>11</v>
      </c>
      <c r="C35" s="192">
        <v>22.0</v>
      </c>
      <c r="D35" s="17" t="s">
        <v>27</v>
      </c>
      <c r="E35" s="18" t="s">
        <v>22</v>
      </c>
      <c r="F35" s="18" t="s">
        <v>34</v>
      </c>
      <c r="G35" s="18" t="s">
        <v>19</v>
      </c>
      <c r="I35" s="20"/>
      <c r="J35" s="21"/>
      <c r="K35" s="21"/>
      <c r="L35" s="21"/>
      <c r="M35" s="21"/>
      <c r="N35" s="22"/>
    </row>
    <row r="36">
      <c r="A36" s="14"/>
      <c r="B36" s="191" t="s">
        <v>17</v>
      </c>
      <c r="C36" s="192">
        <v>23.0</v>
      </c>
      <c r="D36" s="17" t="s">
        <v>27</v>
      </c>
      <c r="E36" s="18" t="s">
        <v>22</v>
      </c>
      <c r="F36" s="18" t="s">
        <v>14</v>
      </c>
      <c r="G36" s="18" t="s">
        <v>15</v>
      </c>
      <c r="I36" s="20"/>
      <c r="J36" s="21"/>
      <c r="K36" s="21"/>
      <c r="L36" s="21"/>
      <c r="M36" s="21"/>
      <c r="N36" s="22"/>
    </row>
    <row r="37">
      <c r="A37" s="14"/>
      <c r="B37" s="15" t="s">
        <v>21</v>
      </c>
      <c r="C37" s="16">
        <v>24.0</v>
      </c>
      <c r="D37" s="17" t="s">
        <v>32</v>
      </c>
      <c r="E37" s="19" t="s">
        <v>22</v>
      </c>
      <c r="F37" s="19" t="s">
        <v>14</v>
      </c>
      <c r="G37" s="19" t="s">
        <v>19</v>
      </c>
      <c r="I37" s="20"/>
      <c r="J37" s="21"/>
      <c r="K37" s="21"/>
      <c r="L37" s="21"/>
      <c r="M37" s="21"/>
      <c r="N37" s="22"/>
    </row>
    <row r="38">
      <c r="A38" s="14"/>
      <c r="B38" s="23"/>
      <c r="C38" s="23"/>
      <c r="D38" s="17" t="s">
        <v>27</v>
      </c>
      <c r="E38" s="18" t="s">
        <v>22</v>
      </c>
      <c r="F38" s="18" t="s">
        <v>14</v>
      </c>
      <c r="G38" s="18" t="s">
        <v>19</v>
      </c>
      <c r="I38" s="20"/>
      <c r="J38" s="21"/>
      <c r="K38" s="21"/>
      <c r="L38" s="21"/>
      <c r="M38" s="21"/>
      <c r="N38" s="22"/>
    </row>
    <row r="39">
      <c r="A39" s="14"/>
      <c r="B39" s="191" t="s">
        <v>23</v>
      </c>
      <c r="C39" s="192">
        <v>25.0</v>
      </c>
      <c r="D39" s="17" t="s">
        <v>27</v>
      </c>
      <c r="E39" s="18" t="s">
        <v>22</v>
      </c>
      <c r="F39" s="18" t="s">
        <v>14</v>
      </c>
      <c r="G39" s="18" t="s">
        <v>19</v>
      </c>
      <c r="I39" s="20"/>
      <c r="J39" s="21"/>
      <c r="K39" s="21"/>
      <c r="L39" s="21"/>
      <c r="M39" s="21"/>
      <c r="N39" s="22"/>
    </row>
    <row r="40">
      <c r="A40" s="14"/>
      <c r="B40" s="25" t="s">
        <v>25</v>
      </c>
      <c r="C40" s="26">
        <v>26.0</v>
      </c>
      <c r="D40" s="17" t="s">
        <v>12</v>
      </c>
      <c r="E40" s="18" t="s">
        <v>13</v>
      </c>
      <c r="F40" s="19" t="s">
        <v>26</v>
      </c>
      <c r="G40" s="18" t="s">
        <v>19</v>
      </c>
      <c r="I40" s="27" t="s">
        <v>25</v>
      </c>
      <c r="J40" s="46">
        <v>26.0</v>
      </c>
      <c r="K40" s="44" t="s">
        <v>200</v>
      </c>
      <c r="L40" s="30" t="s">
        <v>28</v>
      </c>
      <c r="M40" s="30" t="s">
        <v>28</v>
      </c>
      <c r="N40" s="214" t="s">
        <v>28</v>
      </c>
    </row>
    <row r="41">
      <c r="A41" s="14"/>
      <c r="B41" s="23"/>
      <c r="C41" s="23"/>
      <c r="D41" s="17" t="s">
        <v>16</v>
      </c>
      <c r="E41" s="18" t="s">
        <v>13</v>
      </c>
      <c r="F41" s="19" t="s">
        <v>26</v>
      </c>
      <c r="G41" s="18" t="s">
        <v>19</v>
      </c>
      <c r="I41" s="32"/>
      <c r="J41" s="45"/>
      <c r="K41" s="45"/>
      <c r="L41" s="30" t="s">
        <v>28</v>
      </c>
      <c r="M41" s="320"/>
      <c r="N41" s="22"/>
    </row>
    <row r="42">
      <c r="A42" s="14"/>
      <c r="B42" s="283"/>
      <c r="C42" s="284"/>
      <c r="D42" s="17" t="s">
        <v>226</v>
      </c>
      <c r="E42" s="18" t="s">
        <v>13</v>
      </c>
      <c r="F42" s="19" t="s">
        <v>26</v>
      </c>
      <c r="G42" s="18" t="s">
        <v>19</v>
      </c>
      <c r="I42" s="20"/>
      <c r="J42" s="21"/>
      <c r="K42" s="21"/>
      <c r="L42" s="21"/>
      <c r="M42" s="320"/>
      <c r="N42" s="22"/>
    </row>
    <row r="43">
      <c r="A43" s="14"/>
      <c r="B43" s="25" t="s">
        <v>29</v>
      </c>
      <c r="C43" s="26">
        <v>27.0</v>
      </c>
      <c r="D43" s="17" t="s">
        <v>12</v>
      </c>
      <c r="E43" s="18" t="s">
        <v>22</v>
      </c>
      <c r="F43" s="19" t="s">
        <v>26</v>
      </c>
      <c r="G43" s="19" t="s">
        <v>15</v>
      </c>
      <c r="I43" s="20"/>
      <c r="J43" s="21"/>
      <c r="K43" s="21"/>
      <c r="L43" s="21"/>
      <c r="M43" s="320"/>
      <c r="N43" s="22"/>
    </row>
    <row r="44">
      <c r="A44" s="14"/>
      <c r="B44" s="23"/>
      <c r="C44" s="23"/>
      <c r="D44" s="17" t="s">
        <v>16</v>
      </c>
      <c r="E44" s="18" t="s">
        <v>22</v>
      </c>
      <c r="F44" s="19" t="s">
        <v>26</v>
      </c>
      <c r="G44" s="19" t="s">
        <v>15</v>
      </c>
      <c r="I44" s="20"/>
      <c r="J44" s="21"/>
      <c r="K44" s="21"/>
      <c r="L44" s="21"/>
      <c r="M44" s="21"/>
      <c r="N44" s="22"/>
    </row>
    <row r="45">
      <c r="A45" s="14"/>
      <c r="B45" s="25" t="s">
        <v>31</v>
      </c>
      <c r="C45" s="26">
        <v>28.0</v>
      </c>
      <c r="D45" s="17" t="s">
        <v>12</v>
      </c>
      <c r="E45" s="18" t="s">
        <v>43</v>
      </c>
      <c r="F45" s="18" t="s">
        <v>14</v>
      </c>
      <c r="G45" s="18" t="s">
        <v>15</v>
      </c>
      <c r="I45" s="27" t="s">
        <v>31</v>
      </c>
      <c r="J45" s="46">
        <v>28.0</v>
      </c>
      <c r="K45" s="44" t="s">
        <v>200</v>
      </c>
      <c r="L45" s="30" t="s">
        <v>22</v>
      </c>
      <c r="M45" s="30" t="s">
        <v>35</v>
      </c>
      <c r="N45" s="369" t="s">
        <v>19</v>
      </c>
    </row>
    <row r="46">
      <c r="A46" s="14"/>
      <c r="B46" s="23"/>
      <c r="C46" s="23"/>
      <c r="D46" s="17" t="s">
        <v>16</v>
      </c>
      <c r="E46" s="18" t="s">
        <v>43</v>
      </c>
      <c r="F46" s="18" t="s">
        <v>14</v>
      </c>
      <c r="G46" s="18" t="s">
        <v>15</v>
      </c>
      <c r="I46" s="32"/>
      <c r="J46" s="45"/>
      <c r="K46" s="45"/>
      <c r="L46" s="30" t="s">
        <v>13</v>
      </c>
      <c r="M46" s="320"/>
      <c r="N46" s="22"/>
    </row>
    <row r="47">
      <c r="A47" s="14"/>
      <c r="B47" s="191" t="s">
        <v>11</v>
      </c>
      <c r="C47" s="192">
        <v>29.0</v>
      </c>
      <c r="D47" s="17" t="s">
        <v>27</v>
      </c>
      <c r="E47" s="18" t="s">
        <v>13</v>
      </c>
      <c r="F47" s="18" t="s">
        <v>14</v>
      </c>
      <c r="G47" s="18" t="s">
        <v>15</v>
      </c>
      <c r="I47" s="20"/>
      <c r="J47" s="21"/>
      <c r="K47" s="21"/>
      <c r="L47" s="21"/>
      <c r="M47" s="21"/>
      <c r="N47" s="22"/>
    </row>
    <row r="48">
      <c r="A48" s="14"/>
      <c r="B48" s="191" t="s">
        <v>17</v>
      </c>
      <c r="C48" s="192">
        <v>30.0</v>
      </c>
      <c r="D48" s="17" t="s">
        <v>27</v>
      </c>
      <c r="E48" s="18" t="s">
        <v>13</v>
      </c>
      <c r="F48" s="18" t="s">
        <v>14</v>
      </c>
      <c r="G48" s="18" t="s">
        <v>19</v>
      </c>
      <c r="I48" s="20"/>
      <c r="J48" s="21"/>
      <c r="K48" s="21"/>
      <c r="L48" s="21"/>
      <c r="M48" s="21"/>
      <c r="N48" s="22"/>
    </row>
    <row r="49">
      <c r="A49" s="14"/>
      <c r="B49" s="55"/>
      <c r="C49" s="370"/>
      <c r="D49" s="17"/>
      <c r="E49" s="18"/>
      <c r="F49" s="193"/>
      <c r="G49" s="193"/>
      <c r="I49" s="20"/>
      <c r="J49" s="21"/>
      <c r="K49" s="21"/>
      <c r="L49" s="21"/>
      <c r="M49" s="21"/>
      <c r="N49" s="22"/>
    </row>
    <row r="50">
      <c r="A50" s="14"/>
      <c r="B50" s="24"/>
      <c r="C50" s="24"/>
      <c r="D50" s="17"/>
      <c r="E50" s="18"/>
      <c r="F50" s="193"/>
      <c r="G50" s="193"/>
      <c r="I50" s="20"/>
      <c r="J50" s="21"/>
      <c r="K50" s="21"/>
      <c r="L50" s="21"/>
      <c r="M50" s="21"/>
      <c r="N50" s="22"/>
    </row>
    <row r="51">
      <c r="A51" s="14"/>
      <c r="B51" s="23"/>
      <c r="C51" s="23"/>
      <c r="D51" s="17"/>
      <c r="E51" s="18"/>
      <c r="F51" s="193"/>
      <c r="G51" s="193"/>
      <c r="I51" s="60"/>
      <c r="J51" s="61"/>
      <c r="K51" s="61"/>
      <c r="L51" s="61"/>
      <c r="M51" s="61"/>
      <c r="N51" s="62"/>
    </row>
    <row r="52">
      <c r="E52" s="63">
        <f>COUNTIF(E4:E51, "Mira") + Countif(E4:E51, "Tuna")+ Countif(E4:E51, "Gustavo")+ Countif(E4:E51, "Pablo")+ Countif(E4:E51, "Tavares")+ Countif(E4:E51, "Sobral") + Countif(E4:E51, "Pipo")+ Countif(E4:E51, "Enfermagem")+ Countif(E4:E51, "Literatus")+ Countif(E4:E51, "Medicina")</f>
        <v>45</v>
      </c>
      <c r="F52" s="63">
        <f>Countif(F4:F51, "Gift") + Countif(F4:F51, "Monte") + Countif(F4:F51, "Sorte") + Countif(F4:F51, "Afonso") + Countif(F4:F51, "Geni") + Countif(F4:F51, "JP")</f>
        <v>45</v>
      </c>
      <c r="G52" s="63">
        <f>Countif(G4:G51, "Apostas") + Countif(G4:G51, "Prodígio") + Countif(G4:G51, "Poço") + Countif(G4:G51, "Pedro")</f>
        <v>45</v>
      </c>
      <c r="L52" s="64">
        <f>COUNTIF(L4:L51, "Mira") + Countif(L4:L51, "Tuna")+ Countif(L4:L51, "Gustavo")+ Countif(L4:L51, "Pablo")+ Countif(L4:L51, "Tavares")+ Countif(L4:L51, "Sobral") + Countif(L4:L51, "Pipo")+ Countif(L4:L51, "Enfermagem")+ Countif(L4:L51, "Literatus")+ Countif(L4:L51, "Medicina")</f>
        <v>2</v>
      </c>
      <c r="M52" s="64">
        <f>Countif(M4:M50, "Gift") + Countif(M4:M50, "Monte") + Countif(M4:M50, "Sorte") + Countif(M4:M50, "Afonso") + Countif(M4:M50, "Geni") + Countif(M4:M50, "JP")</f>
        <v>1</v>
      </c>
      <c r="N52" s="64">
        <f>Countif(N4:N50, "Apostas") + Countif(N4:N50, "Prodígio") + Countif(N4:N50, "Poço")</f>
        <v>1</v>
      </c>
    </row>
    <row r="57" ht="22.5" customHeight="1">
      <c r="D57" s="65" t="s">
        <v>36</v>
      </c>
      <c r="E57" s="65" t="s">
        <v>37</v>
      </c>
      <c r="F57" s="65" t="s">
        <v>38</v>
      </c>
      <c r="G57" s="66" t="s">
        <v>39</v>
      </c>
      <c r="H57" s="67" t="s">
        <v>40</v>
      </c>
      <c r="K57" s="65" t="s">
        <v>36</v>
      </c>
      <c r="L57" s="65" t="s">
        <v>37</v>
      </c>
      <c r="M57" s="65" t="s">
        <v>38</v>
      </c>
      <c r="N57" s="66" t="s">
        <v>39</v>
      </c>
      <c r="O57" s="67" t="s">
        <v>40</v>
      </c>
      <c r="R57" s="68" t="s">
        <v>41</v>
      </c>
    </row>
    <row r="58" ht="22.5" customHeight="1">
      <c r="C58" s="69" t="s">
        <v>42</v>
      </c>
      <c r="D58" s="70" t="s">
        <v>22</v>
      </c>
      <c r="E58" s="71">
        <f>COUNTIF(E4:E51,"Tuna")</f>
        <v>10</v>
      </c>
      <c r="F58" s="72">
        <f t="shared" ref="F58:F74" si="2">((60/3)*E58)</f>
        <v>200</v>
      </c>
      <c r="G58" s="73">
        <f>E52</f>
        <v>45</v>
      </c>
      <c r="H58" s="74">
        <f>SUM(F58:F64)</f>
        <v>900</v>
      </c>
      <c r="J58" s="69" t="s">
        <v>42</v>
      </c>
      <c r="K58" s="70" t="s">
        <v>22</v>
      </c>
      <c r="L58" s="71">
        <f>COUNTIF(L2:L51,"Tuna")</f>
        <v>1</v>
      </c>
      <c r="M58" s="72">
        <f t="shared" ref="M58:M73" si="3">((75/3)*L58)</f>
        <v>25</v>
      </c>
      <c r="N58" s="73">
        <f t="shared" ref="N58:O58" si="1">SUM(L58:L64)</f>
        <v>2</v>
      </c>
      <c r="O58" s="74">
        <f t="shared" si="1"/>
        <v>50</v>
      </c>
      <c r="Q58" s="75" t="s">
        <v>22</v>
      </c>
      <c r="R58" s="76">
        <f t="shared" ref="R58:R74" si="4">SUM(F58,M58)</f>
        <v>225</v>
      </c>
    </row>
    <row r="59" ht="22.5" customHeight="1">
      <c r="C59" s="77"/>
      <c r="D59" s="78" t="s">
        <v>30</v>
      </c>
      <c r="E59" s="79">
        <f>COUNTIF(E4:E51,"Mira")</f>
        <v>9</v>
      </c>
      <c r="F59" s="80">
        <f t="shared" si="2"/>
        <v>180</v>
      </c>
      <c r="G59" s="81"/>
      <c r="H59" s="82"/>
      <c r="J59" s="77"/>
      <c r="K59" s="78" t="s">
        <v>30</v>
      </c>
      <c r="L59" s="79">
        <f>COUNTIF(L2:L51,"Mira")</f>
        <v>0</v>
      </c>
      <c r="M59" s="80">
        <f t="shared" si="3"/>
        <v>0</v>
      </c>
      <c r="N59" s="81"/>
      <c r="O59" s="82"/>
      <c r="Q59" s="83" t="s">
        <v>30</v>
      </c>
      <c r="R59" s="76">
        <f t="shared" si="4"/>
        <v>180</v>
      </c>
    </row>
    <row r="60" ht="22.5" customHeight="1">
      <c r="C60" s="77"/>
      <c r="D60" s="78" t="s">
        <v>13</v>
      </c>
      <c r="E60" s="79">
        <f>COUNTIF(E4:E51,"Pipo")</f>
        <v>16</v>
      </c>
      <c r="F60" s="80">
        <f t="shared" si="2"/>
        <v>320</v>
      </c>
      <c r="G60" s="81"/>
      <c r="H60" s="82"/>
      <c r="J60" s="77"/>
      <c r="K60" s="78" t="s">
        <v>13</v>
      </c>
      <c r="L60" s="79">
        <f>COUNTIF(L2:L51,"Pipo")</f>
        <v>1</v>
      </c>
      <c r="M60" s="84">
        <f t="shared" si="3"/>
        <v>25</v>
      </c>
      <c r="N60" s="81"/>
      <c r="O60" s="82"/>
      <c r="Q60" s="83" t="s">
        <v>13</v>
      </c>
      <c r="R60" s="76">
        <f t="shared" si="4"/>
        <v>345</v>
      </c>
    </row>
    <row r="61" ht="22.5" customHeight="1">
      <c r="C61" s="77"/>
      <c r="D61" s="78" t="s">
        <v>43</v>
      </c>
      <c r="E61" s="79">
        <f>COUNTIF(E4:E51,"Pablo")</f>
        <v>4</v>
      </c>
      <c r="F61" s="84">
        <f t="shared" si="2"/>
        <v>80</v>
      </c>
      <c r="G61" s="81"/>
      <c r="H61" s="82"/>
      <c r="J61" s="77"/>
      <c r="K61" s="78" t="s">
        <v>43</v>
      </c>
      <c r="L61" s="79">
        <f>COUNTIF(L2:L51,"Pablo")</f>
        <v>0</v>
      </c>
      <c r="M61" s="84">
        <f t="shared" si="3"/>
        <v>0</v>
      </c>
      <c r="N61" s="81"/>
      <c r="O61" s="82"/>
      <c r="Q61" s="83" t="s">
        <v>43</v>
      </c>
      <c r="R61" s="76">
        <f t="shared" si="4"/>
        <v>80</v>
      </c>
    </row>
    <row r="62" ht="22.5" customHeight="1">
      <c r="C62" s="77"/>
      <c r="D62" s="78" t="s">
        <v>44</v>
      </c>
      <c r="E62" s="79">
        <f>COUNTIF(E4:E51,"Tavares")</f>
        <v>4</v>
      </c>
      <c r="F62" s="84">
        <f t="shared" si="2"/>
        <v>80</v>
      </c>
      <c r="G62" s="81"/>
      <c r="H62" s="82"/>
      <c r="J62" s="77"/>
      <c r="K62" s="78" t="s">
        <v>44</v>
      </c>
      <c r="L62" s="79">
        <f>COUNTIF(L2:L51,"Tavares")</f>
        <v>0</v>
      </c>
      <c r="M62" s="84">
        <f t="shared" si="3"/>
        <v>0</v>
      </c>
      <c r="N62" s="81"/>
      <c r="O62" s="82"/>
      <c r="Q62" s="83" t="s">
        <v>44</v>
      </c>
      <c r="R62" s="76">
        <f t="shared" si="4"/>
        <v>80</v>
      </c>
    </row>
    <row r="63" ht="22.5" customHeight="1">
      <c r="C63" s="77"/>
      <c r="D63" s="78" t="s">
        <v>201</v>
      </c>
      <c r="E63" s="79">
        <f>COUNTIF(E4:E51,"Gustavo")</f>
        <v>2</v>
      </c>
      <c r="F63" s="84">
        <f t="shared" si="2"/>
        <v>40</v>
      </c>
      <c r="G63" s="81"/>
      <c r="H63" s="82"/>
      <c r="J63" s="77"/>
      <c r="K63" s="78" t="s">
        <v>201</v>
      </c>
      <c r="L63" s="79">
        <f>COUNTIF(L5:L54,"Gustavo")</f>
        <v>0</v>
      </c>
      <c r="M63" s="84">
        <f t="shared" si="3"/>
        <v>0</v>
      </c>
      <c r="N63" s="81"/>
      <c r="O63" s="82"/>
      <c r="Q63" s="83" t="s">
        <v>201</v>
      </c>
      <c r="R63" s="76">
        <f t="shared" si="4"/>
        <v>40</v>
      </c>
    </row>
    <row r="64" ht="22.5" customHeight="1">
      <c r="C64" s="91"/>
      <c r="D64" s="92" t="s">
        <v>207</v>
      </c>
      <c r="E64" s="93">
        <f>COUNTIF(E4:E51,"Sobral")</f>
        <v>0</v>
      </c>
      <c r="F64" s="94">
        <f t="shared" si="2"/>
        <v>0</v>
      </c>
      <c r="G64" s="95"/>
      <c r="H64" s="96"/>
      <c r="J64" s="91"/>
      <c r="K64" s="92" t="s">
        <v>207</v>
      </c>
      <c r="L64" s="93">
        <f>COUNTIF(L3:L52,"Sobral")</f>
        <v>0</v>
      </c>
      <c r="M64" s="94">
        <f t="shared" si="3"/>
        <v>0</v>
      </c>
      <c r="N64" s="95"/>
      <c r="O64" s="96"/>
      <c r="Q64" s="97" t="s">
        <v>207</v>
      </c>
      <c r="R64" s="98">
        <f t="shared" si="4"/>
        <v>0</v>
      </c>
    </row>
    <row r="65" ht="22.5" customHeight="1">
      <c r="C65" s="69" t="s">
        <v>47</v>
      </c>
      <c r="D65" s="99" t="s">
        <v>35</v>
      </c>
      <c r="E65" s="100">
        <f>Countif(F4:F51,"Gift")</f>
        <v>3</v>
      </c>
      <c r="F65" s="101">
        <f t="shared" si="2"/>
        <v>60</v>
      </c>
      <c r="G65" s="102">
        <f>F52</f>
        <v>45</v>
      </c>
      <c r="H65" s="103">
        <f>SUM(F65:F70)</f>
        <v>900</v>
      </c>
      <c r="J65" s="69" t="s">
        <v>47</v>
      </c>
      <c r="K65" s="99" t="s">
        <v>35</v>
      </c>
      <c r="L65" s="100">
        <f>Countif(M2:M51,"Gift")</f>
        <v>1</v>
      </c>
      <c r="M65" s="101">
        <f t="shared" si="3"/>
        <v>25</v>
      </c>
      <c r="N65" s="102">
        <f t="shared" ref="N65:O65" si="5">SUM(L65:L70)</f>
        <v>1</v>
      </c>
      <c r="O65" s="103">
        <f t="shared" si="5"/>
        <v>25</v>
      </c>
      <c r="Q65" s="104" t="s">
        <v>35</v>
      </c>
      <c r="R65" s="105">
        <f t="shared" si="4"/>
        <v>85</v>
      </c>
    </row>
    <row r="66" ht="22.5" customHeight="1">
      <c r="C66" s="77"/>
      <c r="D66" s="99" t="s">
        <v>34</v>
      </c>
      <c r="E66" s="100">
        <f>Countif(F4:F51,"Monte")</f>
        <v>14</v>
      </c>
      <c r="F66" s="101">
        <f t="shared" si="2"/>
        <v>280</v>
      </c>
      <c r="G66" s="106"/>
      <c r="H66" s="82"/>
      <c r="J66" s="77"/>
      <c r="K66" s="99" t="s">
        <v>34</v>
      </c>
      <c r="L66" s="100">
        <f>Countif(M2:M51,"Monte")</f>
        <v>0</v>
      </c>
      <c r="M66" s="101">
        <f t="shared" si="3"/>
        <v>0</v>
      </c>
      <c r="N66" s="106"/>
      <c r="O66" s="82"/>
      <c r="Q66" s="83" t="s">
        <v>34</v>
      </c>
      <c r="R66" s="76">
        <f t="shared" si="4"/>
        <v>280</v>
      </c>
    </row>
    <row r="67" ht="22.5" customHeight="1">
      <c r="C67" s="77"/>
      <c r="D67" s="99" t="s">
        <v>26</v>
      </c>
      <c r="E67" s="100">
        <f>Countif(F4:F51,"Sorte")</f>
        <v>17</v>
      </c>
      <c r="F67" s="101">
        <f t="shared" si="2"/>
        <v>340</v>
      </c>
      <c r="G67" s="106"/>
      <c r="H67" s="82"/>
      <c r="J67" s="77"/>
      <c r="K67" s="99" t="s">
        <v>26</v>
      </c>
      <c r="L67" s="100">
        <f>Countif(M2:M51,"Sorte")</f>
        <v>0</v>
      </c>
      <c r="M67" s="101">
        <f t="shared" si="3"/>
        <v>0</v>
      </c>
      <c r="N67" s="106"/>
      <c r="O67" s="82"/>
      <c r="Q67" s="83" t="s">
        <v>26</v>
      </c>
      <c r="R67" s="76">
        <f t="shared" si="4"/>
        <v>340</v>
      </c>
    </row>
    <row r="68" ht="22.5" customHeight="1">
      <c r="C68" s="77"/>
      <c r="D68" s="99" t="s">
        <v>14</v>
      </c>
      <c r="E68" s="100">
        <f>Countif(F4:F51,"Afonso")</f>
        <v>11</v>
      </c>
      <c r="F68" s="101">
        <f t="shared" si="2"/>
        <v>220</v>
      </c>
      <c r="G68" s="106"/>
      <c r="H68" s="82"/>
      <c r="J68" s="77"/>
      <c r="K68" s="99" t="s">
        <v>14</v>
      </c>
      <c r="L68" s="100">
        <f>Countif(M2:M51,"Afonso")</f>
        <v>0</v>
      </c>
      <c r="M68" s="101">
        <f t="shared" si="3"/>
        <v>0</v>
      </c>
      <c r="N68" s="106"/>
      <c r="O68" s="82"/>
      <c r="Q68" s="83" t="s">
        <v>14</v>
      </c>
      <c r="R68" s="76">
        <f t="shared" si="4"/>
        <v>220</v>
      </c>
    </row>
    <row r="69" ht="22.5" customHeight="1">
      <c r="C69" s="77"/>
      <c r="D69" s="85" t="s">
        <v>18</v>
      </c>
      <c r="E69" s="86">
        <f>Countif(F4:F51,"Geni")</f>
        <v>0</v>
      </c>
      <c r="F69" s="87">
        <f t="shared" si="2"/>
        <v>0</v>
      </c>
      <c r="G69" s="106"/>
      <c r="H69" s="82"/>
      <c r="J69" s="77"/>
      <c r="K69" s="99" t="s">
        <v>18</v>
      </c>
      <c r="L69" s="100">
        <f>Countif(M2:M51,"Geni")</f>
        <v>0</v>
      </c>
      <c r="M69" s="101">
        <f t="shared" si="3"/>
        <v>0</v>
      </c>
      <c r="N69" s="106"/>
      <c r="O69" s="82"/>
      <c r="Q69" s="83" t="s">
        <v>18</v>
      </c>
      <c r="R69" s="76">
        <f t="shared" si="4"/>
        <v>0</v>
      </c>
    </row>
    <row r="70" ht="22.5" customHeight="1">
      <c r="C70" s="91"/>
      <c r="D70" s="99" t="s">
        <v>48</v>
      </c>
      <c r="E70" s="100">
        <f>Countif(F4:F51,"JP")</f>
        <v>0</v>
      </c>
      <c r="F70" s="101">
        <f t="shared" si="2"/>
        <v>0</v>
      </c>
      <c r="G70" s="106"/>
      <c r="H70" s="82"/>
      <c r="J70" s="91"/>
      <c r="K70" s="92" t="s">
        <v>48</v>
      </c>
      <c r="L70" s="93">
        <f>Countif(M2:M51,"JP")</f>
        <v>0</v>
      </c>
      <c r="M70" s="94">
        <f t="shared" si="3"/>
        <v>0</v>
      </c>
      <c r="N70" s="106"/>
      <c r="O70" s="82"/>
      <c r="Q70" s="97" t="s">
        <v>48</v>
      </c>
      <c r="R70" s="98">
        <f t="shared" si="4"/>
        <v>0</v>
      </c>
    </row>
    <row r="71" ht="22.5" customHeight="1">
      <c r="C71" s="69" t="s">
        <v>49</v>
      </c>
      <c r="D71" s="114" t="s">
        <v>19</v>
      </c>
      <c r="E71" s="115">
        <f>Countif(G4:G51,"Apostas")</f>
        <v>21</v>
      </c>
      <c r="F71" s="112">
        <f t="shared" si="2"/>
        <v>420</v>
      </c>
      <c r="G71" s="73">
        <f>G52</f>
        <v>45</v>
      </c>
      <c r="H71" s="74">
        <f>SUM(F71:F73)</f>
        <v>900</v>
      </c>
      <c r="J71" s="69" t="s">
        <v>49</v>
      </c>
      <c r="K71" s="114" t="s">
        <v>19</v>
      </c>
      <c r="L71" s="115">
        <f>Countif(N2:N51,"Apostas")</f>
        <v>1</v>
      </c>
      <c r="M71" s="112">
        <f t="shared" si="3"/>
        <v>25</v>
      </c>
      <c r="N71" s="73">
        <f t="shared" ref="N71:O71" si="6">SUM(L71:L73)</f>
        <v>1</v>
      </c>
      <c r="O71" s="74">
        <f t="shared" si="6"/>
        <v>25</v>
      </c>
      <c r="Q71" s="104" t="s">
        <v>19</v>
      </c>
      <c r="R71" s="105">
        <f t="shared" si="4"/>
        <v>445</v>
      </c>
    </row>
    <row r="72" ht="22.5" customHeight="1">
      <c r="C72" s="77"/>
      <c r="D72" s="120" t="s">
        <v>15</v>
      </c>
      <c r="E72" s="121">
        <f>Countif(G4:G51,"Prodígio")</f>
        <v>20</v>
      </c>
      <c r="F72" s="119">
        <f t="shared" si="2"/>
        <v>400</v>
      </c>
      <c r="G72" s="81"/>
      <c r="H72" s="82"/>
      <c r="J72" s="77"/>
      <c r="K72" s="120" t="s">
        <v>15</v>
      </c>
      <c r="L72" s="121">
        <f>Countif(N2:N51,"Prodígio")</f>
        <v>0</v>
      </c>
      <c r="M72" s="119">
        <f t="shared" si="3"/>
        <v>0</v>
      </c>
      <c r="N72" s="81"/>
      <c r="O72" s="82"/>
      <c r="Q72" s="83" t="s">
        <v>15</v>
      </c>
      <c r="R72" s="76">
        <f t="shared" si="4"/>
        <v>400</v>
      </c>
    </row>
    <row r="73" ht="22.5" customHeight="1">
      <c r="C73" s="77"/>
      <c r="D73" s="120" t="s">
        <v>50</v>
      </c>
      <c r="E73" s="121">
        <f>Countif(G2:G51,"Poço")</f>
        <v>4</v>
      </c>
      <c r="F73" s="119">
        <f t="shared" si="2"/>
        <v>80</v>
      </c>
      <c r="G73" s="81"/>
      <c r="H73" s="82"/>
      <c r="J73" s="77"/>
      <c r="K73" s="120" t="s">
        <v>50</v>
      </c>
      <c r="L73" s="121">
        <f>Countif(N2:N51,"Poço")</f>
        <v>0</v>
      </c>
      <c r="M73" s="119">
        <f t="shared" si="3"/>
        <v>0</v>
      </c>
      <c r="N73" s="81"/>
      <c r="O73" s="82"/>
      <c r="Q73" s="83" t="s">
        <v>50</v>
      </c>
      <c r="R73" s="76">
        <f t="shared" si="4"/>
        <v>80</v>
      </c>
    </row>
    <row r="74" ht="22.5" customHeight="1">
      <c r="C74" s="91"/>
      <c r="D74" s="222" t="s">
        <v>24</v>
      </c>
      <c r="E74" s="128">
        <f>Countif(G3:G52,"Pedro")</f>
        <v>0</v>
      </c>
      <c r="F74" s="129">
        <f t="shared" si="2"/>
        <v>0</v>
      </c>
      <c r="G74" s="130"/>
      <c r="H74" s="127"/>
      <c r="J74" s="91"/>
      <c r="K74" s="222" t="s">
        <v>24</v>
      </c>
      <c r="L74" s="128">
        <f>Countif(N3:N51,"Pedro")</f>
        <v>0</v>
      </c>
      <c r="M74" s="129">
        <f>((60/3)*L74)</f>
        <v>0</v>
      </c>
      <c r="N74" s="130"/>
      <c r="O74" s="127"/>
      <c r="Q74" s="131" t="s">
        <v>48</v>
      </c>
      <c r="R74" s="76">
        <f t="shared" si="4"/>
        <v>0</v>
      </c>
    </row>
    <row r="75">
      <c r="H75" s="371">
        <f>SUM(H58:H73)</f>
        <v>2700</v>
      </c>
      <c r="O75" s="132">
        <f>SUM(O58:O73)</f>
        <v>100</v>
      </c>
      <c r="Q75" s="133"/>
      <c r="R75" s="134">
        <f>SUM(H75+O75)</f>
        <v>2800</v>
      </c>
    </row>
    <row r="76">
      <c r="H76" s="135"/>
      <c r="O76" s="135"/>
      <c r="Q76" s="133"/>
      <c r="R76" s="135"/>
    </row>
    <row r="78">
      <c r="K78" s="139" t="s">
        <v>52</v>
      </c>
    </row>
    <row r="79" ht="22.5" customHeight="1">
      <c r="D79" s="136" t="s">
        <v>36</v>
      </c>
      <c r="E79" s="136" t="s">
        <v>37</v>
      </c>
      <c r="F79" s="136" t="s">
        <v>38</v>
      </c>
      <c r="G79" s="137" t="s">
        <v>40</v>
      </c>
      <c r="J79" s="147"/>
      <c r="K79" s="372" t="s">
        <v>56</v>
      </c>
      <c r="L79" s="373"/>
      <c r="O79" s="138" t="s">
        <v>6</v>
      </c>
      <c r="P79" s="100" t="s">
        <v>51</v>
      </c>
    </row>
    <row r="80" ht="22.5" customHeight="1">
      <c r="C80" s="140" t="s">
        <v>53</v>
      </c>
      <c r="D80" s="141" t="s">
        <v>54</v>
      </c>
      <c r="E80" s="142">
        <f>COUNTIF(E24:E51,"Medicina")</f>
        <v>0</v>
      </c>
      <c r="F80" s="143">
        <f t="shared" ref="F80:F82" si="7">((60/3)*E80)</f>
        <v>0</v>
      </c>
      <c r="G80" s="144">
        <f>SUM(F80:F82)</f>
        <v>0</v>
      </c>
      <c r="J80" s="155"/>
      <c r="K80" s="374" t="s">
        <v>59</v>
      </c>
      <c r="L80" s="373"/>
      <c r="O80" s="145" t="s">
        <v>55</v>
      </c>
      <c r="P80" s="146">
        <v>20.0</v>
      </c>
    </row>
    <row r="81" ht="22.5" customHeight="1">
      <c r="C81" s="116"/>
      <c r="D81" s="150" t="s">
        <v>57</v>
      </c>
      <c r="E81" s="88">
        <f>COUNTIF(E24:E51,"Literatus")</f>
        <v>0</v>
      </c>
      <c r="F81" s="151">
        <f t="shared" si="7"/>
        <v>0</v>
      </c>
      <c r="G81" s="152"/>
      <c r="J81" s="162"/>
      <c r="K81" s="374" t="s">
        <v>62</v>
      </c>
      <c r="L81" s="373"/>
      <c r="O81" s="153" t="s">
        <v>58</v>
      </c>
      <c r="P81" s="154">
        <v>20.0</v>
      </c>
    </row>
    <row r="82" ht="22.5" customHeight="1">
      <c r="C82" s="124"/>
      <c r="D82" s="158" t="s">
        <v>60</v>
      </c>
      <c r="E82" s="159">
        <f>COUNTIF(E24:E51,"Enfermagem")</f>
        <v>0</v>
      </c>
      <c r="F82" s="160">
        <f t="shared" si="7"/>
        <v>0</v>
      </c>
      <c r="G82" s="161"/>
      <c r="J82" s="166"/>
      <c r="K82" s="372" t="s">
        <v>64</v>
      </c>
      <c r="L82" s="373"/>
      <c r="O82" s="153" t="s">
        <v>61</v>
      </c>
      <c r="P82" s="154">
        <v>20.0</v>
      </c>
    </row>
    <row r="83" ht="22.5" customHeight="1">
      <c r="G83" s="375">
        <f>SUM(G80:G82)</f>
        <v>0</v>
      </c>
      <c r="J83" s="376" t="s">
        <v>65</v>
      </c>
      <c r="K83" s="374" t="s">
        <v>66</v>
      </c>
      <c r="L83" s="373"/>
      <c r="O83" s="164" t="s">
        <v>63</v>
      </c>
      <c r="P83" s="165">
        <v>20.0</v>
      </c>
    </row>
    <row r="84">
      <c r="G84" s="161"/>
      <c r="J84" s="168" t="s">
        <v>65</v>
      </c>
      <c r="K84" s="374" t="s">
        <v>202</v>
      </c>
      <c r="L84" s="373"/>
    </row>
    <row r="85">
      <c r="J85" s="169" t="s">
        <v>28</v>
      </c>
      <c r="K85" s="374" t="s">
        <v>203</v>
      </c>
      <c r="L85" s="373"/>
    </row>
    <row r="86">
      <c r="J86" s="170"/>
      <c r="K86" s="374" t="s">
        <v>69</v>
      </c>
      <c r="L86" s="373"/>
    </row>
    <row r="87">
      <c r="J87" s="171" t="s">
        <v>65</v>
      </c>
      <c r="K87" s="374" t="s">
        <v>68</v>
      </c>
      <c r="L87" s="373"/>
    </row>
    <row r="88">
      <c r="J88" s="377">
        <v>47.0</v>
      </c>
      <c r="K88" s="374" t="s">
        <v>71</v>
      </c>
      <c r="L88" s="373"/>
    </row>
    <row r="93">
      <c r="T93" s="1" t="s">
        <v>229</v>
      </c>
    </row>
    <row r="94">
      <c r="U94" s="1" t="s">
        <v>230</v>
      </c>
    </row>
    <row r="101">
      <c r="T101" s="1">
        <v>5.0</v>
      </c>
    </row>
    <row r="131">
      <c r="V131" s="1" t="s">
        <v>231</v>
      </c>
    </row>
  </sheetData>
  <mergeCells count="81">
    <mergeCell ref="J58:J64"/>
    <mergeCell ref="J65:J70"/>
    <mergeCell ref="N65:N70"/>
    <mergeCell ref="O65:O70"/>
    <mergeCell ref="O71:O74"/>
    <mergeCell ref="O75:O76"/>
    <mergeCell ref="R75:R76"/>
    <mergeCell ref="C58:C64"/>
    <mergeCell ref="G58:G64"/>
    <mergeCell ref="H58:H64"/>
    <mergeCell ref="N58:N64"/>
    <mergeCell ref="O58:O64"/>
    <mergeCell ref="G65:G70"/>
    <mergeCell ref="H65:H70"/>
    <mergeCell ref="C65:C70"/>
    <mergeCell ref="C71:C74"/>
    <mergeCell ref="G71:G74"/>
    <mergeCell ref="H71:H74"/>
    <mergeCell ref="J71:J74"/>
    <mergeCell ref="N71:N74"/>
    <mergeCell ref="H75:H76"/>
    <mergeCell ref="K82:L82"/>
    <mergeCell ref="K83:L83"/>
    <mergeCell ref="K85:L85"/>
    <mergeCell ref="K86:L86"/>
    <mergeCell ref="K87:L87"/>
    <mergeCell ref="K88:L88"/>
    <mergeCell ref="K78:L78"/>
    <mergeCell ref="K79:L79"/>
    <mergeCell ref="C80:C82"/>
    <mergeCell ref="G80:G82"/>
    <mergeCell ref="K80:L80"/>
    <mergeCell ref="K81:L81"/>
    <mergeCell ref="G83:G84"/>
    <mergeCell ref="K84:L84"/>
    <mergeCell ref="B1:C1"/>
    <mergeCell ref="B2:G2"/>
    <mergeCell ref="J2:K2"/>
    <mergeCell ref="B8:B9"/>
    <mergeCell ref="C8:C9"/>
    <mergeCell ref="B10:B11"/>
    <mergeCell ref="C10:C11"/>
    <mergeCell ref="B21:B22"/>
    <mergeCell ref="B23:B24"/>
    <mergeCell ref="I24:N24"/>
    <mergeCell ref="I29:I30"/>
    <mergeCell ref="J29:J30"/>
    <mergeCell ref="K29:K30"/>
    <mergeCell ref="B12:B13"/>
    <mergeCell ref="C12:C13"/>
    <mergeCell ref="B15:B16"/>
    <mergeCell ref="C15:C16"/>
    <mergeCell ref="C19:C20"/>
    <mergeCell ref="C21:C22"/>
    <mergeCell ref="C23:C24"/>
    <mergeCell ref="J40:J41"/>
    <mergeCell ref="K40:K41"/>
    <mergeCell ref="I45:I46"/>
    <mergeCell ref="J45:J46"/>
    <mergeCell ref="K45:K46"/>
    <mergeCell ref="C29:C30"/>
    <mergeCell ref="C31:C32"/>
    <mergeCell ref="C33:C34"/>
    <mergeCell ref="I33:I34"/>
    <mergeCell ref="J33:J34"/>
    <mergeCell ref="K33:K34"/>
    <mergeCell ref="I40:I41"/>
    <mergeCell ref="B19:B20"/>
    <mergeCell ref="B29:B30"/>
    <mergeCell ref="B31:B32"/>
    <mergeCell ref="B33:B34"/>
    <mergeCell ref="B37:B38"/>
    <mergeCell ref="C37:C38"/>
    <mergeCell ref="C40:C41"/>
    <mergeCell ref="B40:B41"/>
    <mergeCell ref="B43:B44"/>
    <mergeCell ref="C43:C44"/>
    <mergeCell ref="B45:B46"/>
    <mergeCell ref="C45:C46"/>
    <mergeCell ref="B49:B51"/>
    <mergeCell ref="C49:C51"/>
  </mergeCells>
  <conditionalFormatting sqref="C79">
    <cfRule type="notContainsBlanks" dxfId="7" priority="1">
      <formula>LEN(TRIM(C79))&gt;0</formula>
    </cfRule>
  </conditionalFormatting>
  <dataValidations>
    <dataValidation type="list" allowBlank="1" showErrorMessage="1" sqref="N29 N33 N40 N45 G4:G51">
      <formula1>"Apostas,Prodígio,Poço,Pedro,-"</formula1>
    </dataValidation>
    <dataValidation type="list" allowBlank="1" showErrorMessage="1" sqref="J83">
      <formula1>"Nome"</formula1>
    </dataValidation>
    <dataValidation type="list" allowBlank="1" showErrorMessage="1" sqref="J85">
      <formula1>"-"</formula1>
    </dataValidation>
    <dataValidation type="list" allowBlank="1" showErrorMessage="1" sqref="J84">
      <formula1>"Nome"</formula1>
    </dataValidation>
    <dataValidation type="list" allowBlank="1" showErrorMessage="1" sqref="D51">
      <formula1>"19h00,18h00,19h30,21h00,21h30,16h00,-"</formula1>
    </dataValidation>
    <dataValidation type="list" allowBlank="1" showErrorMessage="1" sqref="D4:D50">
      <formula1>"19h00,18h00,19h30,21h00,21h30,16h00"</formula1>
    </dataValidation>
    <dataValidation type="list" allowBlank="1" showErrorMessage="1" sqref="F4:F51">
      <formula1>"Gift,Monte,Sorte,Afonso,Geni,JP,-"</formula1>
    </dataValidation>
    <dataValidation type="list" allowBlank="1" showErrorMessage="1" sqref="L29:L30 L33:L34 L40:L41 L45:L46">
      <formula1>"Tuna,Gustavo,Mira,Pablo,Tavares,Pipo,Sobral,Medicina,Literatus,Enfermagem,-"</formula1>
    </dataValidation>
    <dataValidation type="list" allowBlank="1" showErrorMessage="1" sqref="J86">
      <formula1>" -"</formula1>
    </dataValidation>
    <dataValidation type="list" allowBlank="1" showErrorMessage="1" sqref="M29 M33 M40 M45">
      <formula1>"Gift,Monte,Sorte,Afonso,Geni,JP,-"</formula1>
    </dataValidation>
    <dataValidation type="list" allowBlank="1" showErrorMessage="1" sqref="E4:E51">
      <formula1>"Tuna,Pipo,Mira,Pablo,Tavares,Gustavo,Sobral,Medicina,Literatus,Enfermagem,-"</formula1>
    </dataValidation>
    <dataValidation type="custom" allowBlank="1" showDropDown="1" sqref="M58:M74 F58:F74 F80:F82 P80:P83">
      <formula1>AND(ISNUMBER(F58),(NOT(OR(NOT(ISERROR(DATEVALUE(F58))), AND(ISNUMBER(F58), LEFT(CELL("format", F58))="D")))))</formula1>
    </dataValidation>
    <dataValidation type="list" allowBlank="1" showErrorMessage="1" sqref="K29 K33 K40 K45">
      <formula1>"17h00"</formula1>
    </dataValidation>
  </dataValidations>
  <drawing r:id="rId4"/>
  <legacyDrawing r:id="rId5"/>
  <tableParts count="4">
    <tablePart r:id="rId10"/>
    <tablePart r:id="rId11"/>
    <tablePart r:id="rId12"/>
    <tablePart r:id="rId1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2" max="12" width="13.5"/>
    <col customWidth="1" min="14" max="14" width="14.0"/>
  </cols>
  <sheetData>
    <row r="1">
      <c r="A1" s="1"/>
      <c r="B1" s="2" t="s">
        <v>1</v>
      </c>
    </row>
    <row r="2">
      <c r="A2" s="3"/>
      <c r="B2" s="4" t="s">
        <v>232</v>
      </c>
      <c r="I2" s="378" t="s">
        <v>3</v>
      </c>
      <c r="J2" s="379">
        <f>TODAY()</f>
        <v>46182</v>
      </c>
      <c r="K2" s="380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  <c r="I3" s="11" t="s">
        <v>10</v>
      </c>
      <c r="J3" s="12"/>
      <c r="K3" s="12"/>
      <c r="L3" s="12"/>
      <c r="M3" s="12"/>
      <c r="N3" s="13"/>
    </row>
    <row r="4">
      <c r="A4" s="14"/>
      <c r="B4" s="25" t="s">
        <v>25</v>
      </c>
      <c r="C4" s="26">
        <v>1.0</v>
      </c>
      <c r="D4" s="17" t="s">
        <v>12</v>
      </c>
      <c r="E4" s="19" t="s">
        <v>13</v>
      </c>
      <c r="F4" s="381" t="s">
        <v>26</v>
      </c>
      <c r="G4" s="19" t="s">
        <v>15</v>
      </c>
      <c r="I4" s="382" t="s">
        <v>25</v>
      </c>
      <c r="J4" s="383">
        <v>1.0</v>
      </c>
      <c r="K4" s="384" t="s">
        <v>200</v>
      </c>
      <c r="L4" s="385"/>
      <c r="M4" s="386"/>
      <c r="N4" s="31"/>
    </row>
    <row r="5">
      <c r="A5" s="14"/>
      <c r="B5" s="23"/>
      <c r="C5" s="23"/>
      <c r="D5" s="17" t="s">
        <v>16</v>
      </c>
      <c r="E5" s="19" t="s">
        <v>13</v>
      </c>
      <c r="F5" s="381" t="s">
        <v>26</v>
      </c>
      <c r="G5" s="19" t="s">
        <v>15</v>
      </c>
      <c r="I5" s="387"/>
      <c r="J5" s="388"/>
      <c r="K5" s="208"/>
      <c r="L5" s="30"/>
      <c r="M5" s="389"/>
      <c r="N5" s="390"/>
    </row>
    <row r="6">
      <c r="A6" s="14"/>
      <c r="B6" s="25" t="s">
        <v>29</v>
      </c>
      <c r="C6" s="26">
        <v>2.0</v>
      </c>
      <c r="D6" s="17" t="s">
        <v>12</v>
      </c>
      <c r="E6" s="18" t="s">
        <v>30</v>
      </c>
      <c r="F6" s="381" t="s">
        <v>26</v>
      </c>
      <c r="G6" s="18" t="s">
        <v>19</v>
      </c>
      <c r="I6" s="49"/>
      <c r="J6" s="50"/>
      <c r="K6" s="50"/>
      <c r="L6" s="216"/>
      <c r="M6" s="294"/>
      <c r="N6" s="221"/>
    </row>
    <row r="7">
      <c r="A7" s="14"/>
      <c r="B7" s="23"/>
      <c r="C7" s="23"/>
      <c r="D7" s="17" t="s">
        <v>16</v>
      </c>
      <c r="E7" s="18" t="s">
        <v>30</v>
      </c>
      <c r="F7" s="381" t="s">
        <v>26</v>
      </c>
      <c r="G7" s="18" t="s">
        <v>19</v>
      </c>
      <c r="I7" s="391"/>
      <c r="J7" s="392"/>
      <c r="K7" s="392"/>
      <c r="L7" s="53"/>
      <c r="M7" s="274"/>
      <c r="N7" s="393"/>
    </row>
    <row r="8">
      <c r="A8" s="14"/>
      <c r="B8" s="25" t="s">
        <v>31</v>
      </c>
      <c r="C8" s="26">
        <v>3.0</v>
      </c>
      <c r="D8" s="17" t="s">
        <v>12</v>
      </c>
      <c r="E8" s="18" t="s">
        <v>30</v>
      </c>
      <c r="F8" s="18" t="s">
        <v>26</v>
      </c>
      <c r="G8" s="18" t="s">
        <v>19</v>
      </c>
      <c r="I8" s="218" t="s">
        <v>31</v>
      </c>
      <c r="J8" s="394">
        <v>3.0</v>
      </c>
      <c r="K8" s="395" t="s">
        <v>200</v>
      </c>
      <c r="L8" s="198"/>
      <c r="M8" s="199"/>
      <c r="N8" s="31"/>
    </row>
    <row r="9">
      <c r="A9" s="14"/>
      <c r="B9" s="23"/>
      <c r="C9" s="23"/>
      <c r="D9" s="17" t="s">
        <v>16</v>
      </c>
      <c r="E9" s="18" t="s">
        <v>30</v>
      </c>
      <c r="F9" s="18" t="s">
        <v>26</v>
      </c>
      <c r="G9" s="18" t="s">
        <v>19</v>
      </c>
      <c r="I9" s="207"/>
      <c r="J9" s="396"/>
      <c r="K9" s="208"/>
      <c r="L9" s="30"/>
      <c r="M9" s="397"/>
      <c r="N9" s="390"/>
    </row>
    <row r="10">
      <c r="A10" s="14"/>
      <c r="B10" s="191" t="s">
        <v>11</v>
      </c>
      <c r="C10" s="192">
        <v>4.0</v>
      </c>
      <c r="D10" s="17" t="s">
        <v>27</v>
      </c>
      <c r="E10" s="18" t="s">
        <v>43</v>
      </c>
      <c r="F10" s="18" t="s">
        <v>14</v>
      </c>
      <c r="G10" s="18" t="s">
        <v>50</v>
      </c>
      <c r="I10" s="49"/>
      <c r="J10" s="50"/>
      <c r="K10" s="50"/>
      <c r="L10" s="216"/>
      <c r="M10" s="220"/>
      <c r="N10" s="221"/>
    </row>
    <row r="11">
      <c r="A11" s="14"/>
      <c r="B11" s="191" t="s">
        <v>17</v>
      </c>
      <c r="C11" s="192">
        <v>5.0</v>
      </c>
      <c r="D11" s="17" t="s">
        <v>27</v>
      </c>
      <c r="E11" s="18" t="s">
        <v>30</v>
      </c>
      <c r="F11" s="18" t="s">
        <v>14</v>
      </c>
      <c r="G11" s="19" t="s">
        <v>19</v>
      </c>
      <c r="I11" s="49"/>
      <c r="J11" s="50"/>
      <c r="K11" s="50"/>
      <c r="L11" s="50"/>
      <c r="M11" s="220"/>
      <c r="N11" s="221"/>
    </row>
    <row r="12">
      <c r="A12" s="14"/>
      <c r="B12" s="191" t="s">
        <v>21</v>
      </c>
      <c r="C12" s="192">
        <v>6.0</v>
      </c>
      <c r="D12" s="17" t="s">
        <v>27</v>
      </c>
      <c r="E12" s="18" t="s">
        <v>43</v>
      </c>
      <c r="F12" s="18" t="s">
        <v>14</v>
      </c>
      <c r="G12" s="18" t="s">
        <v>19</v>
      </c>
      <c r="I12" s="49"/>
      <c r="J12" s="50"/>
      <c r="K12" s="50"/>
      <c r="L12" s="50"/>
      <c r="M12" s="294"/>
      <c r="N12" s="221"/>
    </row>
    <row r="13">
      <c r="A13" s="14"/>
      <c r="B13" s="191" t="s">
        <v>23</v>
      </c>
      <c r="C13" s="192">
        <v>7.0</v>
      </c>
      <c r="D13" s="17" t="s">
        <v>27</v>
      </c>
      <c r="E13" s="18" t="s">
        <v>13</v>
      </c>
      <c r="F13" s="18" t="s">
        <v>14</v>
      </c>
      <c r="G13" s="18" t="s">
        <v>50</v>
      </c>
      <c r="I13" s="391"/>
      <c r="J13" s="392"/>
      <c r="K13" s="392"/>
      <c r="L13" s="53"/>
      <c r="M13" s="274"/>
      <c r="N13" s="393"/>
    </row>
    <row r="14">
      <c r="A14" s="14"/>
      <c r="B14" s="25" t="s">
        <v>25</v>
      </c>
      <c r="C14" s="26">
        <v>8.0</v>
      </c>
      <c r="D14" s="17" t="s">
        <v>12</v>
      </c>
      <c r="E14" s="18" t="s">
        <v>43</v>
      </c>
      <c r="F14" s="18" t="s">
        <v>34</v>
      </c>
      <c r="G14" s="18" t="s">
        <v>50</v>
      </c>
      <c r="I14" s="398" t="s">
        <v>25</v>
      </c>
      <c r="J14" s="399">
        <v>8.0</v>
      </c>
      <c r="K14" s="395" t="s">
        <v>200</v>
      </c>
      <c r="L14" s="19" t="s">
        <v>28</v>
      </c>
      <c r="M14" s="19" t="s">
        <v>28</v>
      </c>
      <c r="N14" s="31" t="s">
        <v>28</v>
      </c>
    </row>
    <row r="15">
      <c r="A15" s="14"/>
      <c r="B15" s="23"/>
      <c r="C15" s="23"/>
      <c r="D15" s="17" t="s">
        <v>16</v>
      </c>
      <c r="E15" s="18" t="s">
        <v>43</v>
      </c>
      <c r="F15" s="18" t="s">
        <v>34</v>
      </c>
      <c r="G15" s="18" t="s">
        <v>50</v>
      </c>
      <c r="I15" s="387"/>
      <c r="J15" s="388"/>
      <c r="K15" s="208"/>
      <c r="L15" s="30" t="s">
        <v>28</v>
      </c>
      <c r="M15" s="389"/>
      <c r="N15" s="390"/>
    </row>
    <row r="16">
      <c r="A16" s="14"/>
      <c r="B16" s="25" t="s">
        <v>29</v>
      </c>
      <c r="C16" s="26">
        <v>9.0</v>
      </c>
      <c r="D16" s="17" t="s">
        <v>12</v>
      </c>
      <c r="E16" s="19" t="s">
        <v>13</v>
      </c>
      <c r="F16" s="19" t="s">
        <v>34</v>
      </c>
      <c r="G16" s="19" t="s">
        <v>19</v>
      </c>
      <c r="I16" s="49"/>
      <c r="J16" s="50"/>
      <c r="K16" s="50"/>
      <c r="L16" s="216"/>
      <c r="M16" s="294"/>
      <c r="N16" s="221"/>
    </row>
    <row r="17">
      <c r="A17" s="14"/>
      <c r="B17" s="23"/>
      <c r="C17" s="23"/>
      <c r="D17" s="17" t="s">
        <v>16</v>
      </c>
      <c r="E17" s="19" t="s">
        <v>13</v>
      </c>
      <c r="F17" s="19" t="s">
        <v>34</v>
      </c>
      <c r="G17" s="19" t="s">
        <v>19</v>
      </c>
      <c r="I17" s="391"/>
      <c r="J17" s="392"/>
      <c r="K17" s="392"/>
      <c r="L17" s="53"/>
      <c r="M17" s="274"/>
      <c r="N17" s="393"/>
    </row>
    <row r="18">
      <c r="A18" s="14"/>
      <c r="B18" s="25" t="s">
        <v>31</v>
      </c>
      <c r="C18" s="26">
        <v>10.0</v>
      </c>
      <c r="D18" s="17" t="s">
        <v>12</v>
      </c>
      <c r="E18" s="19" t="s">
        <v>13</v>
      </c>
      <c r="F18" s="18" t="s">
        <v>26</v>
      </c>
      <c r="G18" s="19" t="s">
        <v>19</v>
      </c>
      <c r="I18" s="218" t="s">
        <v>31</v>
      </c>
      <c r="J18" s="399">
        <v>10.0</v>
      </c>
      <c r="K18" s="400" t="s">
        <v>200</v>
      </c>
      <c r="L18" s="19" t="s">
        <v>28</v>
      </c>
      <c r="M18" s="199" t="s">
        <v>28</v>
      </c>
      <c r="N18" s="401" t="s">
        <v>28</v>
      </c>
    </row>
    <row r="19">
      <c r="A19" s="14"/>
      <c r="B19" s="23"/>
      <c r="C19" s="23"/>
      <c r="D19" s="17" t="s">
        <v>16</v>
      </c>
      <c r="E19" s="19" t="s">
        <v>13</v>
      </c>
      <c r="F19" s="18" t="s">
        <v>26</v>
      </c>
      <c r="G19" s="19" t="s">
        <v>19</v>
      </c>
      <c r="I19" s="207"/>
      <c r="J19" s="388"/>
      <c r="K19" s="402"/>
      <c r="L19" s="30" t="s">
        <v>28</v>
      </c>
      <c r="M19" s="397"/>
      <c r="N19" s="390"/>
    </row>
    <row r="20">
      <c r="A20" s="14"/>
      <c r="B20" s="191" t="s">
        <v>11</v>
      </c>
      <c r="C20" s="192">
        <v>11.0</v>
      </c>
      <c r="D20" s="17" t="s">
        <v>27</v>
      </c>
      <c r="E20" s="18" t="s">
        <v>13</v>
      </c>
      <c r="F20" s="18" t="s">
        <v>35</v>
      </c>
      <c r="G20" s="19" t="s">
        <v>19</v>
      </c>
      <c r="I20" s="49"/>
      <c r="J20" s="50"/>
      <c r="K20" s="50"/>
      <c r="L20" s="216"/>
      <c r="M20" s="220"/>
      <c r="N20" s="221"/>
    </row>
    <row r="21">
      <c r="A21" s="14"/>
      <c r="B21" s="191" t="s">
        <v>17</v>
      </c>
      <c r="C21" s="192">
        <v>12.0</v>
      </c>
      <c r="D21" s="17" t="s">
        <v>27</v>
      </c>
      <c r="E21" s="18" t="s">
        <v>30</v>
      </c>
      <c r="F21" s="18" t="s">
        <v>14</v>
      </c>
      <c r="G21" s="19" t="s">
        <v>19</v>
      </c>
      <c r="I21" s="49"/>
      <c r="J21" s="50"/>
      <c r="K21" s="50"/>
      <c r="L21" s="50"/>
      <c r="M21" s="220"/>
      <c r="N21" s="221"/>
    </row>
    <row r="22">
      <c r="A22" s="14"/>
      <c r="B22" s="191" t="s">
        <v>21</v>
      </c>
      <c r="C22" s="192">
        <v>13.0</v>
      </c>
      <c r="D22" s="17" t="s">
        <v>27</v>
      </c>
      <c r="E22" s="18" t="s">
        <v>13</v>
      </c>
      <c r="F22" s="18" t="s">
        <v>14</v>
      </c>
      <c r="G22" s="19" t="s">
        <v>19</v>
      </c>
      <c r="I22" s="49"/>
      <c r="J22" s="50"/>
      <c r="K22" s="50"/>
      <c r="L22" s="50"/>
      <c r="M22" s="294"/>
      <c r="N22" s="221"/>
    </row>
    <row r="23">
      <c r="A23" s="14"/>
      <c r="B23" s="191" t="s">
        <v>23</v>
      </c>
      <c r="C23" s="192">
        <v>14.0</v>
      </c>
      <c r="D23" s="17" t="s">
        <v>27</v>
      </c>
      <c r="E23" s="18" t="s">
        <v>13</v>
      </c>
      <c r="F23" s="18" t="s">
        <v>35</v>
      </c>
      <c r="G23" s="18" t="s">
        <v>15</v>
      </c>
      <c r="I23" s="391"/>
      <c r="J23" s="392"/>
      <c r="K23" s="392"/>
      <c r="L23" s="53"/>
      <c r="M23" s="274"/>
      <c r="N23" s="393"/>
    </row>
    <row r="24">
      <c r="A24" s="14"/>
      <c r="B24" s="25" t="s">
        <v>25</v>
      </c>
      <c r="C24" s="26">
        <v>15.0</v>
      </c>
      <c r="D24" s="17" t="s">
        <v>12</v>
      </c>
      <c r="E24" s="19" t="s">
        <v>13</v>
      </c>
      <c r="F24" s="19" t="s">
        <v>34</v>
      </c>
      <c r="G24" s="18" t="s">
        <v>15</v>
      </c>
      <c r="I24" s="218" t="s">
        <v>25</v>
      </c>
      <c r="J24" s="399">
        <v>15.0</v>
      </c>
      <c r="K24" s="400" t="s">
        <v>200</v>
      </c>
      <c r="L24" s="19" t="s">
        <v>28</v>
      </c>
      <c r="M24" s="381" t="s">
        <v>28</v>
      </c>
      <c r="N24" s="31" t="s">
        <v>28</v>
      </c>
    </row>
    <row r="25">
      <c r="A25" s="14"/>
      <c r="B25" s="23"/>
      <c r="C25" s="23"/>
      <c r="D25" s="17" t="s">
        <v>16</v>
      </c>
      <c r="E25" s="19" t="s">
        <v>13</v>
      </c>
      <c r="F25" s="19" t="s">
        <v>34</v>
      </c>
      <c r="G25" s="18" t="s">
        <v>15</v>
      </c>
      <c r="I25" s="207"/>
      <c r="J25" s="388"/>
      <c r="K25" s="402"/>
      <c r="L25" s="30" t="s">
        <v>28</v>
      </c>
      <c r="M25" s="389"/>
      <c r="N25" s="390"/>
    </row>
    <row r="26">
      <c r="A26" s="14"/>
      <c r="B26" s="25" t="s">
        <v>29</v>
      </c>
      <c r="C26" s="26">
        <v>16.0</v>
      </c>
      <c r="D26" s="17" t="s">
        <v>12</v>
      </c>
      <c r="E26" s="19" t="s">
        <v>13</v>
      </c>
      <c r="F26" s="18" t="s">
        <v>34</v>
      </c>
      <c r="G26" s="18" t="s">
        <v>15</v>
      </c>
      <c r="I26" s="49"/>
      <c r="J26" s="50"/>
      <c r="K26" s="50"/>
      <c r="L26" s="216"/>
      <c r="M26" s="294"/>
      <c r="N26" s="221"/>
    </row>
    <row r="27">
      <c r="A27" s="14"/>
      <c r="B27" s="23"/>
      <c r="C27" s="23"/>
      <c r="D27" s="17" t="s">
        <v>16</v>
      </c>
      <c r="E27" s="19" t="s">
        <v>13</v>
      </c>
      <c r="F27" s="18" t="s">
        <v>34</v>
      </c>
      <c r="G27" s="18" t="s">
        <v>15</v>
      </c>
      <c r="I27" s="391"/>
      <c r="J27" s="392"/>
      <c r="K27" s="392"/>
      <c r="L27" s="53"/>
      <c r="M27" s="274"/>
      <c r="N27" s="393"/>
    </row>
    <row r="28">
      <c r="A28" s="14"/>
      <c r="B28" s="25" t="s">
        <v>31</v>
      </c>
      <c r="C28" s="26">
        <v>17.0</v>
      </c>
      <c r="D28" s="17" t="s">
        <v>12</v>
      </c>
      <c r="E28" s="18" t="s">
        <v>13</v>
      </c>
      <c r="F28" s="18" t="s">
        <v>35</v>
      </c>
      <c r="G28" s="18" t="s">
        <v>15</v>
      </c>
      <c r="I28" s="218" t="s">
        <v>31</v>
      </c>
      <c r="J28" s="399">
        <v>17.0</v>
      </c>
      <c r="K28" s="400" t="s">
        <v>200</v>
      </c>
      <c r="L28" s="198" t="s">
        <v>28</v>
      </c>
      <c r="M28" s="199" t="s">
        <v>28</v>
      </c>
      <c r="N28" s="401" t="s">
        <v>28</v>
      </c>
    </row>
    <row r="29">
      <c r="A29" s="14"/>
      <c r="B29" s="23"/>
      <c r="C29" s="23"/>
      <c r="D29" s="17" t="s">
        <v>16</v>
      </c>
      <c r="E29" s="18" t="s">
        <v>13</v>
      </c>
      <c r="F29" s="18" t="s">
        <v>35</v>
      </c>
      <c r="G29" s="18" t="s">
        <v>15</v>
      </c>
      <c r="I29" s="207"/>
      <c r="J29" s="388"/>
      <c r="K29" s="402"/>
      <c r="L29" s="30" t="s">
        <v>28</v>
      </c>
      <c r="M29" s="397"/>
      <c r="N29" s="390"/>
    </row>
    <row r="30">
      <c r="A30" s="14"/>
      <c r="B30" s="191" t="s">
        <v>11</v>
      </c>
      <c r="C30" s="192">
        <v>18.0</v>
      </c>
      <c r="D30" s="17" t="s">
        <v>27</v>
      </c>
      <c r="E30" s="18" t="s">
        <v>13</v>
      </c>
      <c r="F30" s="19" t="s">
        <v>14</v>
      </c>
      <c r="G30" s="18" t="s">
        <v>19</v>
      </c>
      <c r="I30" s="49"/>
      <c r="J30" s="50"/>
      <c r="K30" s="50"/>
      <c r="L30" s="216"/>
      <c r="M30" s="220"/>
      <c r="N30" s="221"/>
    </row>
    <row r="31">
      <c r="A31" s="14"/>
      <c r="B31" s="191" t="s">
        <v>17</v>
      </c>
      <c r="C31" s="192">
        <v>19.0</v>
      </c>
      <c r="D31" s="17" t="s">
        <v>27</v>
      </c>
      <c r="E31" s="18" t="s">
        <v>13</v>
      </c>
      <c r="F31" s="18" t="s">
        <v>35</v>
      </c>
      <c r="G31" s="18" t="s">
        <v>15</v>
      </c>
      <c r="I31" s="49"/>
      <c r="J31" s="50"/>
      <c r="K31" s="50"/>
      <c r="L31" s="50"/>
      <c r="M31" s="220"/>
      <c r="N31" s="221"/>
    </row>
    <row r="32">
      <c r="A32" s="14"/>
      <c r="B32" s="191" t="s">
        <v>21</v>
      </c>
      <c r="C32" s="192">
        <v>20.0</v>
      </c>
      <c r="D32" s="17" t="s">
        <v>27</v>
      </c>
      <c r="E32" s="18" t="s">
        <v>13</v>
      </c>
      <c r="F32" s="18" t="s">
        <v>14</v>
      </c>
      <c r="G32" s="18" t="s">
        <v>15</v>
      </c>
      <c r="I32" s="49"/>
      <c r="J32" s="50"/>
      <c r="K32" s="50"/>
      <c r="L32" s="50"/>
      <c r="M32" s="294"/>
      <c r="N32" s="221"/>
    </row>
    <row r="33">
      <c r="A33" s="14"/>
      <c r="B33" s="191" t="s">
        <v>23</v>
      </c>
      <c r="C33" s="192">
        <v>21.0</v>
      </c>
      <c r="D33" s="17" t="s">
        <v>27</v>
      </c>
      <c r="E33" s="18" t="s">
        <v>22</v>
      </c>
      <c r="F33" s="18" t="s">
        <v>35</v>
      </c>
      <c r="G33" s="18" t="s">
        <v>19</v>
      </c>
      <c r="I33" s="391"/>
      <c r="J33" s="392"/>
      <c r="K33" s="392"/>
      <c r="L33" s="53"/>
      <c r="M33" s="274"/>
      <c r="N33" s="393"/>
    </row>
    <row r="34">
      <c r="A34" s="14"/>
      <c r="B34" s="25" t="s">
        <v>25</v>
      </c>
      <c r="C34" s="26">
        <v>22.0</v>
      </c>
      <c r="D34" s="17" t="s">
        <v>12</v>
      </c>
      <c r="E34" s="18" t="s">
        <v>22</v>
      </c>
      <c r="F34" s="18" t="s">
        <v>35</v>
      </c>
      <c r="G34" s="18" t="s">
        <v>19</v>
      </c>
      <c r="I34" s="218" t="s">
        <v>25</v>
      </c>
      <c r="J34" s="399">
        <v>22.0</v>
      </c>
      <c r="K34" s="400" t="s">
        <v>200</v>
      </c>
      <c r="L34" s="198" t="s">
        <v>28</v>
      </c>
      <c r="M34" s="199" t="s">
        <v>28</v>
      </c>
      <c r="N34" s="31" t="s">
        <v>28</v>
      </c>
    </row>
    <row r="35">
      <c r="A35" s="14"/>
      <c r="B35" s="23"/>
      <c r="C35" s="23"/>
      <c r="D35" s="17" t="s">
        <v>16</v>
      </c>
      <c r="E35" s="18" t="s">
        <v>22</v>
      </c>
      <c r="F35" s="18" t="s">
        <v>35</v>
      </c>
      <c r="G35" s="18" t="s">
        <v>19</v>
      </c>
      <c r="I35" s="207"/>
      <c r="J35" s="388"/>
      <c r="K35" s="402"/>
      <c r="L35" s="30" t="s">
        <v>28</v>
      </c>
      <c r="M35" s="389"/>
      <c r="N35" s="390"/>
    </row>
    <row r="36">
      <c r="A36" s="14"/>
      <c r="B36" s="25" t="s">
        <v>29</v>
      </c>
      <c r="C36" s="26">
        <v>23.0</v>
      </c>
      <c r="D36" s="17" t="s">
        <v>12</v>
      </c>
      <c r="E36" s="18" t="s">
        <v>22</v>
      </c>
      <c r="F36" s="19" t="s">
        <v>34</v>
      </c>
      <c r="G36" s="18" t="s">
        <v>15</v>
      </c>
      <c r="I36" s="49"/>
      <c r="J36" s="50"/>
      <c r="K36" s="50"/>
      <c r="L36" s="216"/>
      <c r="M36" s="294"/>
      <c r="N36" s="221"/>
    </row>
    <row r="37">
      <c r="A37" s="14"/>
      <c r="B37" s="23"/>
      <c r="C37" s="23"/>
      <c r="D37" s="17" t="s">
        <v>16</v>
      </c>
      <c r="E37" s="18" t="s">
        <v>22</v>
      </c>
      <c r="F37" s="19" t="s">
        <v>34</v>
      </c>
      <c r="G37" s="18" t="s">
        <v>15</v>
      </c>
      <c r="I37" s="391"/>
      <c r="J37" s="392"/>
      <c r="K37" s="392"/>
      <c r="L37" s="53"/>
      <c r="M37" s="274"/>
      <c r="N37" s="393"/>
    </row>
    <row r="38">
      <c r="A38" s="14"/>
      <c r="B38" s="25" t="s">
        <v>31</v>
      </c>
      <c r="C38" s="26">
        <v>24.0</v>
      </c>
      <c r="D38" s="17" t="s">
        <v>12</v>
      </c>
      <c r="E38" s="18" t="s">
        <v>22</v>
      </c>
      <c r="F38" s="19" t="s">
        <v>34</v>
      </c>
      <c r="G38" s="18" t="s">
        <v>15</v>
      </c>
      <c r="I38" s="218" t="s">
        <v>31</v>
      </c>
      <c r="J38" s="399">
        <v>24.0</v>
      </c>
      <c r="K38" s="400" t="s">
        <v>200</v>
      </c>
      <c r="L38" s="198" t="s">
        <v>28</v>
      </c>
      <c r="M38" s="199" t="s">
        <v>28</v>
      </c>
      <c r="N38" s="401" t="s">
        <v>28</v>
      </c>
    </row>
    <row r="39">
      <c r="A39" s="14"/>
      <c r="B39" s="23"/>
      <c r="C39" s="23"/>
      <c r="D39" s="17" t="s">
        <v>16</v>
      </c>
      <c r="E39" s="18" t="s">
        <v>22</v>
      </c>
      <c r="F39" s="19" t="s">
        <v>34</v>
      </c>
      <c r="G39" s="18" t="s">
        <v>15</v>
      </c>
      <c r="I39" s="207"/>
      <c r="J39" s="388"/>
      <c r="K39" s="402"/>
      <c r="L39" s="30" t="s">
        <v>28</v>
      </c>
      <c r="M39" s="397"/>
      <c r="N39" s="390"/>
    </row>
    <row r="40">
      <c r="A40" s="14"/>
      <c r="B40" s="191" t="s">
        <v>11</v>
      </c>
      <c r="C40" s="192">
        <v>25.0</v>
      </c>
      <c r="D40" s="17" t="s">
        <v>27</v>
      </c>
      <c r="E40" s="18" t="s">
        <v>22</v>
      </c>
      <c r="F40" s="18" t="s">
        <v>14</v>
      </c>
      <c r="G40" s="18" t="s">
        <v>19</v>
      </c>
      <c r="I40" s="49"/>
      <c r="J40" s="50"/>
      <c r="K40" s="50"/>
      <c r="L40" s="216"/>
      <c r="M40" s="220"/>
      <c r="N40" s="221"/>
    </row>
    <row r="41">
      <c r="A41" s="14"/>
      <c r="B41" s="191" t="s">
        <v>17</v>
      </c>
      <c r="C41" s="192">
        <v>26.0</v>
      </c>
      <c r="D41" s="17" t="s">
        <v>27</v>
      </c>
      <c r="E41" s="18" t="s">
        <v>13</v>
      </c>
      <c r="F41" s="18" t="s">
        <v>35</v>
      </c>
      <c r="G41" s="18" t="s">
        <v>19</v>
      </c>
      <c r="I41" s="49"/>
      <c r="J41" s="50"/>
      <c r="K41" s="50"/>
      <c r="L41" s="50"/>
      <c r="M41" s="220"/>
      <c r="N41" s="221"/>
    </row>
    <row r="42">
      <c r="A42" s="14"/>
      <c r="B42" s="191" t="s">
        <v>21</v>
      </c>
      <c r="C42" s="192">
        <v>27.0</v>
      </c>
      <c r="D42" s="17" t="s">
        <v>27</v>
      </c>
      <c r="E42" s="18" t="s">
        <v>22</v>
      </c>
      <c r="F42" s="18" t="s">
        <v>35</v>
      </c>
      <c r="G42" s="18" t="s">
        <v>19</v>
      </c>
      <c r="I42" s="49"/>
      <c r="J42" s="50"/>
      <c r="K42" s="50"/>
      <c r="L42" s="50"/>
      <c r="M42" s="294"/>
      <c r="N42" s="221"/>
    </row>
    <row r="43">
      <c r="A43" s="14"/>
      <c r="B43" s="191" t="s">
        <v>23</v>
      </c>
      <c r="C43" s="192">
        <v>28.0</v>
      </c>
      <c r="D43" s="17" t="s">
        <v>27</v>
      </c>
      <c r="E43" s="18" t="s">
        <v>22</v>
      </c>
      <c r="F43" s="18" t="s">
        <v>14</v>
      </c>
      <c r="G43" s="18" t="s">
        <v>15</v>
      </c>
      <c r="I43" s="391"/>
      <c r="J43" s="392"/>
      <c r="K43" s="392"/>
      <c r="L43" s="53"/>
      <c r="M43" s="274"/>
      <c r="N43" s="393"/>
    </row>
    <row r="44">
      <c r="A44" s="14"/>
      <c r="B44" s="25" t="s">
        <v>25</v>
      </c>
      <c r="C44" s="26">
        <v>29.0</v>
      </c>
      <c r="D44" s="17" t="s">
        <v>12</v>
      </c>
      <c r="E44" s="18" t="s">
        <v>22</v>
      </c>
      <c r="F44" s="18" t="s">
        <v>26</v>
      </c>
      <c r="G44" s="18" t="s">
        <v>15</v>
      </c>
      <c r="I44" s="218" t="s">
        <v>25</v>
      </c>
      <c r="J44" s="399">
        <v>29.0</v>
      </c>
      <c r="K44" s="400" t="s">
        <v>200</v>
      </c>
      <c r="L44" s="19" t="s">
        <v>28</v>
      </c>
      <c r="M44" s="199" t="s">
        <v>28</v>
      </c>
      <c r="N44" s="401" t="s">
        <v>28</v>
      </c>
    </row>
    <row r="45">
      <c r="A45" s="14"/>
      <c r="B45" s="23"/>
      <c r="C45" s="23"/>
      <c r="D45" s="17" t="s">
        <v>16</v>
      </c>
      <c r="E45" s="18" t="s">
        <v>22</v>
      </c>
      <c r="F45" s="18" t="s">
        <v>26</v>
      </c>
      <c r="G45" s="18" t="s">
        <v>15</v>
      </c>
      <c r="I45" s="207"/>
      <c r="J45" s="388"/>
      <c r="K45" s="402"/>
      <c r="L45" s="30" t="s">
        <v>28</v>
      </c>
      <c r="M45" s="389"/>
      <c r="N45" s="390"/>
    </row>
    <row r="46">
      <c r="A46" s="14"/>
      <c r="B46" s="25" t="s">
        <v>29</v>
      </c>
      <c r="C46" s="26">
        <v>30.0</v>
      </c>
      <c r="D46" s="17" t="s">
        <v>12</v>
      </c>
      <c r="E46" s="18" t="s">
        <v>13</v>
      </c>
      <c r="F46" s="18" t="s">
        <v>26</v>
      </c>
      <c r="G46" s="18" t="s">
        <v>19</v>
      </c>
      <c r="I46" s="49"/>
      <c r="J46" s="50"/>
      <c r="K46" s="50"/>
      <c r="L46" s="216"/>
      <c r="M46" s="294"/>
      <c r="N46" s="221"/>
    </row>
    <row r="47">
      <c r="A47" s="14"/>
      <c r="B47" s="23"/>
      <c r="C47" s="23"/>
      <c r="D47" s="17" t="s">
        <v>16</v>
      </c>
      <c r="E47" s="18" t="s">
        <v>13</v>
      </c>
      <c r="F47" s="18" t="s">
        <v>26</v>
      </c>
      <c r="G47" s="18" t="s">
        <v>19</v>
      </c>
      <c r="I47" s="391"/>
      <c r="J47" s="392"/>
      <c r="K47" s="392"/>
      <c r="L47" s="53"/>
      <c r="M47" s="274"/>
      <c r="N47" s="393"/>
    </row>
    <row r="48">
      <c r="A48" s="14"/>
      <c r="B48" s="403" t="s">
        <v>31</v>
      </c>
      <c r="C48" s="341">
        <v>31.0</v>
      </c>
      <c r="D48" s="17" t="s">
        <v>12</v>
      </c>
      <c r="E48" s="18" t="s">
        <v>22</v>
      </c>
      <c r="F48" s="381" t="s">
        <v>26</v>
      </c>
      <c r="G48" s="18" t="s">
        <v>19</v>
      </c>
      <c r="I48" s="404" t="s">
        <v>31</v>
      </c>
      <c r="J48" s="405">
        <v>31.0</v>
      </c>
      <c r="K48" s="400" t="s">
        <v>200</v>
      </c>
      <c r="L48" s="198" t="s">
        <v>28</v>
      </c>
      <c r="M48" s="199" t="s">
        <v>28</v>
      </c>
      <c r="N48" s="401" t="s">
        <v>28</v>
      </c>
    </row>
    <row r="49">
      <c r="A49" s="14"/>
      <c r="B49" s="23"/>
      <c r="C49" s="23"/>
      <c r="D49" s="17" t="s">
        <v>16</v>
      </c>
      <c r="E49" s="18" t="s">
        <v>22</v>
      </c>
      <c r="F49" s="381" t="s">
        <v>26</v>
      </c>
      <c r="G49" s="18" t="s">
        <v>19</v>
      </c>
      <c r="I49" s="406"/>
      <c r="J49" s="407"/>
      <c r="K49" s="408"/>
      <c r="L49" s="409" t="s">
        <v>28</v>
      </c>
      <c r="M49" s="410"/>
      <c r="N49" s="411"/>
    </row>
    <row r="50">
      <c r="E50" s="63">
        <f>COUNTIF(E4:E49, "Mira") + Countif(E4:E49, "Tuna")+ Countif(E4:E49, "Gustavo")+ Countif(E4:E49, "Pablo")+ Countif(E4:E49, "Tavares")+ Countif(E4:E49, "Sobral") + Countif(E4:E49, "Pipo")+ Countif(E4:E49, "Enfermagem")+ Countif(E4:E49, "Literatus")+ Countif(E4:E49, "Medicina")</f>
        <v>46</v>
      </c>
      <c r="F50" s="63">
        <f>Countif(F4:F49, "Gift") + Countif(F4:F49, "Monte") + Countif(F4:F49, "Sorte") + Countif(F4:F49, "Afonso") + Countif(F4:F49, "Geni") + Countif(F4:F49, "JP")</f>
        <v>46</v>
      </c>
      <c r="G50" s="63">
        <f>COUNTIF(G4:G49, "Apostas") + COUNTIF(G4:G49, "Prodígio") + COUNTIF(G4:G49, "Poço")</f>
        <v>46</v>
      </c>
      <c r="L50" s="64">
        <f>COUNTIF(L4:L49, "Mira") + Countif(L4:L49, "Tuna")+ Countif(L4:L49, "Gustavo")+ Countif(L4:L49, "Pablo")+ Countif(L4:L49, "Tavares")+ Countif(L4:L49, "Sobral") + Countif(L4:L49, "Pipo")+ Countif(L4:L49, "Enfermagem")+ Countif(L4:L49, "Literatus")+ Countif(L4:L49, "Medicina")</f>
        <v>0</v>
      </c>
      <c r="M50" s="64">
        <f>Countif(M4:M48, "Gift") + Countif(M4:M48, "Monte") + Countif(M4:M48, "Sorte") + Countif(M4:M48, "Afonso") + Countif(M4:M48, "Geni") + Countif(M4:M48, "JP")</f>
        <v>0</v>
      </c>
      <c r="N50" s="64">
        <f>Countif(N4:N48, "Apostas") + Countif(N4:N48, "Prodígio") + Countif(N4:N48, "Poço")</f>
        <v>0</v>
      </c>
    </row>
    <row r="55" ht="22.5" customHeight="1">
      <c r="D55" s="65" t="s">
        <v>36</v>
      </c>
      <c r="E55" s="65" t="s">
        <v>37</v>
      </c>
      <c r="F55" s="65" t="s">
        <v>38</v>
      </c>
      <c r="G55" s="66" t="s">
        <v>39</v>
      </c>
      <c r="H55" s="67" t="s">
        <v>40</v>
      </c>
      <c r="K55" s="65" t="s">
        <v>36</v>
      </c>
      <c r="L55" s="65" t="s">
        <v>37</v>
      </c>
      <c r="M55" s="65" t="s">
        <v>38</v>
      </c>
      <c r="N55" s="66" t="s">
        <v>39</v>
      </c>
      <c r="O55" s="67" t="s">
        <v>40</v>
      </c>
      <c r="R55" s="68" t="s">
        <v>41</v>
      </c>
    </row>
    <row r="56" ht="22.5" customHeight="1">
      <c r="C56" s="69" t="s">
        <v>42</v>
      </c>
      <c r="D56" s="70" t="s">
        <v>22</v>
      </c>
      <c r="E56" s="71">
        <f>COUNTIF(E2:E49,"Tuna")</f>
        <v>14</v>
      </c>
      <c r="F56" s="72">
        <f t="shared" ref="F56:F71" si="1">((60/3)*E56)</f>
        <v>280</v>
      </c>
      <c r="G56" s="73">
        <f>E50</f>
        <v>46</v>
      </c>
      <c r="H56" s="74">
        <f>SUM(F56:F62)</f>
        <v>920</v>
      </c>
      <c r="J56" s="69" t="s">
        <v>42</v>
      </c>
      <c r="K56" s="70" t="s">
        <v>22</v>
      </c>
      <c r="L56" s="71">
        <f>COUNTIF(L2:L49,"Tuna")</f>
        <v>0</v>
      </c>
      <c r="M56" s="72">
        <f t="shared" ref="M56:M71" si="2">((75/3)*L56)</f>
        <v>0</v>
      </c>
      <c r="N56" s="73" t="str">
        <f>L43</f>
        <v/>
      </c>
      <c r="O56" s="74">
        <f>SUM(M56:M62)</f>
        <v>0</v>
      </c>
      <c r="Q56" s="75" t="s">
        <v>22</v>
      </c>
      <c r="R56" s="76">
        <f t="shared" ref="R56:R71" si="3">SUM(F56,M56)</f>
        <v>280</v>
      </c>
    </row>
    <row r="57" ht="22.5" customHeight="1">
      <c r="C57" s="77"/>
      <c r="D57" s="78" t="s">
        <v>30</v>
      </c>
      <c r="E57" s="79">
        <f>COUNTIF(E2:E49,"Mira")</f>
        <v>6</v>
      </c>
      <c r="F57" s="80">
        <f t="shared" si="1"/>
        <v>120</v>
      </c>
      <c r="G57" s="81"/>
      <c r="H57" s="82"/>
      <c r="J57" s="77"/>
      <c r="K57" s="78" t="s">
        <v>30</v>
      </c>
      <c r="L57" s="79">
        <f>COUNTIF(L2:L49,"Mira")</f>
        <v>0</v>
      </c>
      <c r="M57" s="80">
        <f t="shared" si="2"/>
        <v>0</v>
      </c>
      <c r="N57" s="81"/>
      <c r="O57" s="82"/>
      <c r="Q57" s="83" t="s">
        <v>30</v>
      </c>
      <c r="R57" s="76">
        <f t="shared" si="3"/>
        <v>120</v>
      </c>
    </row>
    <row r="58" ht="22.5" customHeight="1">
      <c r="C58" s="77"/>
      <c r="D58" s="78" t="s">
        <v>43</v>
      </c>
      <c r="E58" s="79">
        <f>COUNTIF(E2:E49,"Pablo")</f>
        <v>4</v>
      </c>
      <c r="F58" s="84">
        <f t="shared" si="1"/>
        <v>80</v>
      </c>
      <c r="G58" s="81"/>
      <c r="H58" s="82"/>
      <c r="J58" s="77"/>
      <c r="K58" s="78" t="s">
        <v>43</v>
      </c>
      <c r="L58" s="79">
        <f>COUNTIF(L2:L49,"Pablo")</f>
        <v>0</v>
      </c>
      <c r="M58" s="84">
        <f t="shared" si="2"/>
        <v>0</v>
      </c>
      <c r="N58" s="81"/>
      <c r="O58" s="82"/>
      <c r="Q58" s="83" t="s">
        <v>43</v>
      </c>
      <c r="R58" s="76">
        <f t="shared" si="3"/>
        <v>80</v>
      </c>
    </row>
    <row r="59" ht="22.5" customHeight="1">
      <c r="C59" s="77"/>
      <c r="D59" s="78" t="s">
        <v>44</v>
      </c>
      <c r="E59" s="79">
        <f>COUNTIF(E2:E49,"Tavares")</f>
        <v>0</v>
      </c>
      <c r="F59" s="84">
        <f t="shared" si="1"/>
        <v>0</v>
      </c>
      <c r="G59" s="81"/>
      <c r="H59" s="82"/>
      <c r="J59" s="77"/>
      <c r="K59" s="78" t="s">
        <v>44</v>
      </c>
      <c r="L59" s="79">
        <f>COUNTIF(L2:L49,"Tavares")</f>
        <v>0</v>
      </c>
      <c r="M59" s="84">
        <f t="shared" si="2"/>
        <v>0</v>
      </c>
      <c r="N59" s="81"/>
      <c r="O59" s="82"/>
      <c r="Q59" s="83" t="s">
        <v>44</v>
      </c>
      <c r="R59" s="76">
        <f t="shared" si="3"/>
        <v>0</v>
      </c>
    </row>
    <row r="60" ht="22.5" customHeight="1">
      <c r="C60" s="77"/>
      <c r="D60" s="78" t="s">
        <v>13</v>
      </c>
      <c r="E60" s="79">
        <f>COUNTIF(E2:E49,"Pipo")</f>
        <v>22</v>
      </c>
      <c r="F60" s="84">
        <f t="shared" si="1"/>
        <v>440</v>
      </c>
      <c r="G60" s="81"/>
      <c r="H60" s="82"/>
      <c r="J60" s="77"/>
      <c r="K60" s="78" t="s">
        <v>13</v>
      </c>
      <c r="L60" s="79">
        <f>COUNTIF(L2:L49,"Pipo")</f>
        <v>0</v>
      </c>
      <c r="M60" s="84">
        <f t="shared" si="2"/>
        <v>0</v>
      </c>
      <c r="N60" s="81"/>
      <c r="O60" s="82"/>
      <c r="Q60" s="83" t="s">
        <v>13</v>
      </c>
      <c r="R60" s="76">
        <f t="shared" si="3"/>
        <v>440</v>
      </c>
    </row>
    <row r="61" ht="22.5" customHeight="1">
      <c r="C61" s="77"/>
      <c r="D61" s="78" t="s">
        <v>201</v>
      </c>
      <c r="E61" s="79">
        <f>COUNTIF(E5:E52,"Gustavo")</f>
        <v>0</v>
      </c>
      <c r="F61" s="84">
        <f t="shared" si="1"/>
        <v>0</v>
      </c>
      <c r="G61" s="81"/>
      <c r="H61" s="82"/>
      <c r="J61" s="77"/>
      <c r="K61" s="78" t="s">
        <v>201</v>
      </c>
      <c r="L61" s="79">
        <f>COUNTIF(L5:L52,"Gustavo")</f>
        <v>0</v>
      </c>
      <c r="M61" s="84">
        <f t="shared" si="2"/>
        <v>0</v>
      </c>
      <c r="N61" s="81"/>
      <c r="O61" s="82"/>
      <c r="Q61" s="83" t="s">
        <v>201</v>
      </c>
      <c r="R61" s="76">
        <f t="shared" si="3"/>
        <v>0</v>
      </c>
    </row>
    <row r="62" ht="22.5" customHeight="1">
      <c r="C62" s="91"/>
      <c r="D62" s="92" t="s">
        <v>207</v>
      </c>
      <c r="E62" s="93">
        <f>COUNTIF(E4:E49,"Sobral")</f>
        <v>0</v>
      </c>
      <c r="F62" s="94">
        <f t="shared" si="1"/>
        <v>0</v>
      </c>
      <c r="G62" s="95"/>
      <c r="H62" s="96"/>
      <c r="J62" s="91"/>
      <c r="K62" s="92" t="s">
        <v>207</v>
      </c>
      <c r="L62" s="93">
        <f>COUNTIF(L3:L50,"Sobral")</f>
        <v>0</v>
      </c>
      <c r="M62" s="94">
        <f t="shared" si="2"/>
        <v>0</v>
      </c>
      <c r="N62" s="95"/>
      <c r="O62" s="96"/>
      <c r="Q62" s="97" t="s">
        <v>207</v>
      </c>
      <c r="R62" s="98">
        <f t="shared" si="3"/>
        <v>0</v>
      </c>
    </row>
    <row r="63" ht="22.5" customHeight="1">
      <c r="C63" s="69" t="s">
        <v>47</v>
      </c>
      <c r="D63" s="99" t="s">
        <v>35</v>
      </c>
      <c r="E63" s="100">
        <f>Countif(F2:F49,"Gift")</f>
        <v>10</v>
      </c>
      <c r="F63" s="101">
        <f t="shared" si="1"/>
        <v>200</v>
      </c>
      <c r="G63" s="102">
        <f>F50</f>
        <v>46</v>
      </c>
      <c r="H63" s="103">
        <f>SUM(F63:F68)</f>
        <v>920</v>
      </c>
      <c r="J63" s="69" t="s">
        <v>47</v>
      </c>
      <c r="K63" s="99" t="s">
        <v>35</v>
      </c>
      <c r="L63" s="100">
        <f>Countif(M2:M49,"Gift")</f>
        <v>0</v>
      </c>
      <c r="M63" s="101">
        <f t="shared" si="2"/>
        <v>0</v>
      </c>
      <c r="N63" s="102" t="str">
        <f>M43</f>
        <v/>
      </c>
      <c r="O63" s="103">
        <f>SUM(M63:M68)</f>
        <v>0</v>
      </c>
      <c r="Q63" s="104" t="s">
        <v>35</v>
      </c>
      <c r="R63" s="105">
        <f t="shared" si="3"/>
        <v>200</v>
      </c>
    </row>
    <row r="64" ht="22.5" customHeight="1">
      <c r="C64" s="77"/>
      <c r="D64" s="99" t="s">
        <v>34</v>
      </c>
      <c r="E64" s="100">
        <f>Countif(F2:F49,"Monte")</f>
        <v>12</v>
      </c>
      <c r="F64" s="101">
        <f t="shared" si="1"/>
        <v>240</v>
      </c>
      <c r="G64" s="106"/>
      <c r="H64" s="82"/>
      <c r="J64" s="77"/>
      <c r="K64" s="99" t="s">
        <v>34</v>
      </c>
      <c r="L64" s="100">
        <f>Countif(M2:M49,"Monte")</f>
        <v>0</v>
      </c>
      <c r="M64" s="101">
        <f t="shared" si="2"/>
        <v>0</v>
      </c>
      <c r="N64" s="106"/>
      <c r="O64" s="82"/>
      <c r="Q64" s="83" t="s">
        <v>34</v>
      </c>
      <c r="R64" s="76">
        <f t="shared" si="3"/>
        <v>240</v>
      </c>
    </row>
    <row r="65" ht="22.5" customHeight="1">
      <c r="C65" s="77"/>
      <c r="D65" s="99" t="s">
        <v>26</v>
      </c>
      <c r="E65" s="100">
        <f>Countif(F2:F49,"Sorte")</f>
        <v>14</v>
      </c>
      <c r="F65" s="101">
        <f t="shared" si="1"/>
        <v>280</v>
      </c>
      <c r="G65" s="106"/>
      <c r="H65" s="82"/>
      <c r="J65" s="77"/>
      <c r="K65" s="99" t="s">
        <v>26</v>
      </c>
      <c r="L65" s="100">
        <f>Countif(M2:M49,"Sorte")</f>
        <v>0</v>
      </c>
      <c r="M65" s="101">
        <f t="shared" si="2"/>
        <v>0</v>
      </c>
      <c r="N65" s="106"/>
      <c r="O65" s="82"/>
      <c r="Q65" s="83" t="s">
        <v>26</v>
      </c>
      <c r="R65" s="76">
        <f t="shared" si="3"/>
        <v>280</v>
      </c>
    </row>
    <row r="66" ht="22.5" customHeight="1">
      <c r="C66" s="77"/>
      <c r="D66" s="99" t="s">
        <v>14</v>
      </c>
      <c r="E66" s="100">
        <f>Countif(F2:F49,"Afonso")</f>
        <v>10</v>
      </c>
      <c r="F66" s="101">
        <f t="shared" si="1"/>
        <v>200</v>
      </c>
      <c r="G66" s="106"/>
      <c r="H66" s="82"/>
      <c r="J66" s="77"/>
      <c r="K66" s="99" t="s">
        <v>14</v>
      </c>
      <c r="L66" s="100">
        <f>Countif(M2:M49,"Afonso")</f>
        <v>0</v>
      </c>
      <c r="M66" s="101">
        <f t="shared" si="2"/>
        <v>0</v>
      </c>
      <c r="N66" s="106"/>
      <c r="O66" s="82"/>
      <c r="Q66" s="83" t="s">
        <v>14</v>
      </c>
      <c r="R66" s="76">
        <f t="shared" si="3"/>
        <v>200</v>
      </c>
    </row>
    <row r="67" ht="22.5" customHeight="1">
      <c r="C67" s="77"/>
      <c r="D67" s="99" t="s">
        <v>18</v>
      </c>
      <c r="E67" s="100">
        <f>Countif(F2:F49,"Geni")</f>
        <v>0</v>
      </c>
      <c r="F67" s="101">
        <f t="shared" si="1"/>
        <v>0</v>
      </c>
      <c r="G67" s="106"/>
      <c r="H67" s="82"/>
      <c r="J67" s="77"/>
      <c r="K67" s="99" t="s">
        <v>18</v>
      </c>
      <c r="L67" s="100">
        <f>Countif(M2:M49,"Geni")</f>
        <v>0</v>
      </c>
      <c r="M67" s="101">
        <f t="shared" si="2"/>
        <v>0</v>
      </c>
      <c r="N67" s="106"/>
      <c r="O67" s="82"/>
      <c r="Q67" s="83" t="s">
        <v>18</v>
      </c>
      <c r="R67" s="76">
        <f t="shared" si="3"/>
        <v>0</v>
      </c>
    </row>
    <row r="68" ht="22.5" customHeight="1">
      <c r="C68" s="91"/>
      <c r="D68" s="92" t="s">
        <v>48</v>
      </c>
      <c r="E68" s="93">
        <f>Countif(F2:F49,"JP")</f>
        <v>0</v>
      </c>
      <c r="F68" s="94">
        <f t="shared" si="1"/>
        <v>0</v>
      </c>
      <c r="G68" s="106"/>
      <c r="H68" s="82"/>
      <c r="J68" s="91"/>
      <c r="K68" s="92" t="s">
        <v>48</v>
      </c>
      <c r="L68" s="93">
        <f>Countif(M2:M49,"JP")</f>
        <v>0</v>
      </c>
      <c r="M68" s="94">
        <f t="shared" si="2"/>
        <v>0</v>
      </c>
      <c r="N68" s="106"/>
      <c r="O68" s="82"/>
      <c r="Q68" s="97" t="s">
        <v>48</v>
      </c>
      <c r="R68" s="98">
        <f t="shared" si="3"/>
        <v>0</v>
      </c>
    </row>
    <row r="69" ht="22.5" customHeight="1">
      <c r="C69" s="69" t="s">
        <v>49</v>
      </c>
      <c r="D69" s="114" t="s">
        <v>19</v>
      </c>
      <c r="E69" s="115">
        <f>Countif(G4:G49,"Apostas")</f>
        <v>24</v>
      </c>
      <c r="F69" s="112">
        <f t="shared" si="1"/>
        <v>480</v>
      </c>
      <c r="G69" s="73">
        <f>G50</f>
        <v>46</v>
      </c>
      <c r="H69" s="74">
        <f>SUM(F69:F71)</f>
        <v>920</v>
      </c>
      <c r="J69" s="69" t="s">
        <v>49</v>
      </c>
      <c r="K69" s="114" t="s">
        <v>19</v>
      </c>
      <c r="L69" s="115">
        <f>Countif(N2:N49,"Apostas")</f>
        <v>0</v>
      </c>
      <c r="M69" s="112">
        <f t="shared" si="2"/>
        <v>0</v>
      </c>
      <c r="N69" s="73" t="str">
        <f>N43</f>
        <v/>
      </c>
      <c r="O69" s="74">
        <f>SUM(M69:M71)</f>
        <v>0</v>
      </c>
      <c r="Q69" s="104" t="s">
        <v>19</v>
      </c>
      <c r="R69" s="105">
        <f t="shared" si="3"/>
        <v>480</v>
      </c>
    </row>
    <row r="70" ht="22.5" customHeight="1">
      <c r="C70" s="77"/>
      <c r="D70" s="120" t="s">
        <v>15</v>
      </c>
      <c r="E70" s="121">
        <f>Countif(G4:G49,"Prodígio")</f>
        <v>18</v>
      </c>
      <c r="F70" s="119">
        <f t="shared" si="1"/>
        <v>360</v>
      </c>
      <c r="G70" s="81"/>
      <c r="H70" s="82"/>
      <c r="J70" s="77"/>
      <c r="K70" s="120" t="s">
        <v>15</v>
      </c>
      <c r="L70" s="121">
        <f>Countif(N2:N49,"Prodígio")</f>
        <v>0</v>
      </c>
      <c r="M70" s="119">
        <f t="shared" si="2"/>
        <v>0</v>
      </c>
      <c r="N70" s="81"/>
      <c r="O70" s="82"/>
      <c r="Q70" s="83" t="s">
        <v>15</v>
      </c>
      <c r="R70" s="76">
        <f t="shared" si="3"/>
        <v>360</v>
      </c>
    </row>
    <row r="71" ht="22.5" customHeight="1">
      <c r="C71" s="91"/>
      <c r="D71" s="412" t="s">
        <v>50</v>
      </c>
      <c r="E71" s="413">
        <f>Countif(G3:G49,"Poço")</f>
        <v>4</v>
      </c>
      <c r="F71" s="414">
        <f t="shared" si="1"/>
        <v>80</v>
      </c>
      <c r="G71" s="130"/>
      <c r="H71" s="127"/>
      <c r="J71" s="91"/>
      <c r="K71" s="412" t="s">
        <v>50</v>
      </c>
      <c r="L71" s="413">
        <f>Countif(N2:N49,"Poço")</f>
        <v>0</v>
      </c>
      <c r="M71" s="414">
        <f t="shared" si="2"/>
        <v>0</v>
      </c>
      <c r="N71" s="130"/>
      <c r="O71" s="127"/>
      <c r="Q71" s="415" t="s">
        <v>50</v>
      </c>
      <c r="R71" s="76">
        <f t="shared" si="3"/>
        <v>80</v>
      </c>
    </row>
    <row r="72">
      <c r="H72" s="371">
        <f>SUM(H56:H71)</f>
        <v>2760</v>
      </c>
      <c r="O72" s="132">
        <f>SUM(O56:O71)</f>
        <v>0</v>
      </c>
      <c r="Q72" s="133"/>
      <c r="R72" s="134">
        <f>SUM(H72+O72)</f>
        <v>2760</v>
      </c>
    </row>
    <row r="73">
      <c r="H73" s="135"/>
      <c r="O73" s="135"/>
      <c r="Q73" s="133"/>
      <c r="R73" s="135"/>
    </row>
    <row r="76" ht="22.5" customHeight="1">
      <c r="D76" s="136" t="s">
        <v>36</v>
      </c>
      <c r="E76" s="136" t="s">
        <v>37</v>
      </c>
      <c r="F76" s="136" t="s">
        <v>38</v>
      </c>
      <c r="G76" s="137" t="s">
        <v>40</v>
      </c>
      <c r="J76" s="138" t="s">
        <v>6</v>
      </c>
      <c r="K76" s="100" t="s">
        <v>51</v>
      </c>
      <c r="N76" s="139" t="s">
        <v>52</v>
      </c>
    </row>
    <row r="77" ht="22.5" customHeight="1">
      <c r="C77" s="140" t="s">
        <v>53</v>
      </c>
      <c r="D77" s="141" t="s">
        <v>54</v>
      </c>
      <c r="E77" s="142">
        <f>COUNTIF(E23:E49,"Medicina")</f>
        <v>0</v>
      </c>
      <c r="F77" s="143">
        <f t="shared" ref="F77:F79" si="4">((60/3)*E77)</f>
        <v>0</v>
      </c>
      <c r="G77" s="144">
        <f>SUM(F77:F79)</f>
        <v>0</v>
      </c>
      <c r="J77" s="145" t="s">
        <v>55</v>
      </c>
      <c r="K77" s="146">
        <v>20.0</v>
      </c>
      <c r="M77" s="147"/>
      <c r="N77" s="223" t="s">
        <v>56</v>
      </c>
      <c r="O77" s="373"/>
    </row>
    <row r="78" ht="22.5" customHeight="1">
      <c r="C78" s="116"/>
      <c r="D78" s="150" t="s">
        <v>57</v>
      </c>
      <c r="E78" s="88">
        <f>COUNTIF(E23:E49,"Literatus")</f>
        <v>0</v>
      </c>
      <c r="F78" s="151">
        <f t="shared" si="4"/>
        <v>0</v>
      </c>
      <c r="G78" s="152"/>
      <c r="J78" s="153" t="s">
        <v>58</v>
      </c>
      <c r="K78" s="154">
        <v>20.0</v>
      </c>
      <c r="M78" s="155"/>
      <c r="N78" s="225" t="s">
        <v>59</v>
      </c>
      <c r="O78" s="373"/>
    </row>
    <row r="79" ht="22.5" customHeight="1">
      <c r="C79" s="124"/>
      <c r="D79" s="158" t="s">
        <v>60</v>
      </c>
      <c r="E79" s="159">
        <f>COUNTIF(E23:E49,"Enfermagem")</f>
        <v>0</v>
      </c>
      <c r="F79" s="160">
        <f t="shared" si="4"/>
        <v>0</v>
      </c>
      <c r="G79" s="161"/>
      <c r="J79" s="153" t="s">
        <v>61</v>
      </c>
      <c r="K79" s="154">
        <v>20.0</v>
      </c>
      <c r="M79" s="162"/>
      <c r="N79" s="225" t="s">
        <v>62</v>
      </c>
      <c r="O79" s="373"/>
    </row>
    <row r="80" ht="22.5" customHeight="1">
      <c r="G80" s="375">
        <f>SUM(G77:G79)</f>
        <v>0</v>
      </c>
      <c r="J80" s="164" t="s">
        <v>63</v>
      </c>
      <c r="K80" s="165">
        <v>20.0</v>
      </c>
      <c r="M80" s="166"/>
      <c r="N80" s="223" t="s">
        <v>64</v>
      </c>
      <c r="O80" s="373"/>
    </row>
    <row r="81">
      <c r="G81" s="161"/>
      <c r="M81" s="376" t="s">
        <v>65</v>
      </c>
      <c r="N81" s="225" t="s">
        <v>66</v>
      </c>
      <c r="O81" s="373"/>
    </row>
    <row r="82">
      <c r="M82" s="168" t="s">
        <v>65</v>
      </c>
      <c r="N82" s="225" t="s">
        <v>202</v>
      </c>
      <c r="O82" s="373"/>
    </row>
    <row r="83">
      <c r="M83" s="169" t="s">
        <v>28</v>
      </c>
      <c r="N83" s="225" t="s">
        <v>203</v>
      </c>
      <c r="O83" s="373"/>
    </row>
    <row r="84">
      <c r="M84" s="170"/>
      <c r="N84" s="225" t="s">
        <v>69</v>
      </c>
      <c r="O84" s="373"/>
    </row>
    <row r="85">
      <c r="M85" s="171" t="s">
        <v>65</v>
      </c>
      <c r="N85" s="225" t="s">
        <v>68</v>
      </c>
      <c r="O85" s="373"/>
    </row>
    <row r="86">
      <c r="M86" s="172">
        <v>46.0</v>
      </c>
      <c r="N86" s="225" t="s">
        <v>71</v>
      </c>
      <c r="O86" s="373"/>
    </row>
  </sheetData>
  <mergeCells count="99">
    <mergeCell ref="B16:B17"/>
    <mergeCell ref="B18:B19"/>
    <mergeCell ref="B24:B25"/>
    <mergeCell ref="C24:C25"/>
    <mergeCell ref="B26:B27"/>
    <mergeCell ref="C26:C27"/>
    <mergeCell ref="C28:C29"/>
    <mergeCell ref="B46:B47"/>
    <mergeCell ref="C46:C47"/>
    <mergeCell ref="B48:B49"/>
    <mergeCell ref="C48:C49"/>
    <mergeCell ref="C56:C62"/>
    <mergeCell ref="C63:C68"/>
    <mergeCell ref="C69:C71"/>
    <mergeCell ref="C77:C79"/>
    <mergeCell ref="B28:B29"/>
    <mergeCell ref="B34:B35"/>
    <mergeCell ref="C34:C35"/>
    <mergeCell ref="B36:B37"/>
    <mergeCell ref="C36:C37"/>
    <mergeCell ref="B38:B39"/>
    <mergeCell ref="C38:C39"/>
    <mergeCell ref="I48:I49"/>
    <mergeCell ref="J48:J49"/>
    <mergeCell ref="K48:K49"/>
    <mergeCell ref="H56:H62"/>
    <mergeCell ref="J56:J62"/>
    <mergeCell ref="N56:N62"/>
    <mergeCell ref="O56:O62"/>
    <mergeCell ref="G69:G71"/>
    <mergeCell ref="G77:G79"/>
    <mergeCell ref="G80:G81"/>
    <mergeCell ref="G56:G62"/>
    <mergeCell ref="G63:G68"/>
    <mergeCell ref="H63:H68"/>
    <mergeCell ref="J63:J68"/>
    <mergeCell ref="H69:H71"/>
    <mergeCell ref="J69:J71"/>
    <mergeCell ref="H72:H73"/>
    <mergeCell ref="N63:N68"/>
    <mergeCell ref="O63:O68"/>
    <mergeCell ref="N69:N71"/>
    <mergeCell ref="O69:O71"/>
    <mergeCell ref="O72:O73"/>
    <mergeCell ref="R72:R73"/>
    <mergeCell ref="N76:O76"/>
    <mergeCell ref="N84:O84"/>
    <mergeCell ref="N85:O85"/>
    <mergeCell ref="N86:O86"/>
    <mergeCell ref="N77:O77"/>
    <mergeCell ref="N78:O78"/>
    <mergeCell ref="N79:O79"/>
    <mergeCell ref="N80:O80"/>
    <mergeCell ref="N81:O81"/>
    <mergeCell ref="N82:O82"/>
    <mergeCell ref="N83:O83"/>
    <mergeCell ref="B1:C1"/>
    <mergeCell ref="B2:G2"/>
    <mergeCell ref="J2:K2"/>
    <mergeCell ref="I3:N3"/>
    <mergeCell ref="B4:B5"/>
    <mergeCell ref="C4:C5"/>
    <mergeCell ref="I4:I5"/>
    <mergeCell ref="B6:B7"/>
    <mergeCell ref="C6:C7"/>
    <mergeCell ref="B8:B9"/>
    <mergeCell ref="C8:C9"/>
    <mergeCell ref="B14:B15"/>
    <mergeCell ref="C14:C15"/>
    <mergeCell ref="C16:C17"/>
    <mergeCell ref="C18:C19"/>
    <mergeCell ref="J4:J5"/>
    <mergeCell ref="K4:K5"/>
    <mergeCell ref="I8:I9"/>
    <mergeCell ref="J8:J9"/>
    <mergeCell ref="K8:K9"/>
    <mergeCell ref="J14:J15"/>
    <mergeCell ref="K14:K15"/>
    <mergeCell ref="I14:I15"/>
    <mergeCell ref="I18:I19"/>
    <mergeCell ref="J18:J19"/>
    <mergeCell ref="K18:K19"/>
    <mergeCell ref="I24:I25"/>
    <mergeCell ref="J24:J25"/>
    <mergeCell ref="K24:K25"/>
    <mergeCell ref="J38:J39"/>
    <mergeCell ref="K38:K39"/>
    <mergeCell ref="B44:B45"/>
    <mergeCell ref="C44:C45"/>
    <mergeCell ref="I44:I45"/>
    <mergeCell ref="J44:J45"/>
    <mergeCell ref="K44:K45"/>
    <mergeCell ref="I28:I29"/>
    <mergeCell ref="J28:J29"/>
    <mergeCell ref="K28:K29"/>
    <mergeCell ref="I34:I35"/>
    <mergeCell ref="J34:J35"/>
    <mergeCell ref="K34:K35"/>
    <mergeCell ref="I38:I39"/>
  </mergeCells>
  <conditionalFormatting sqref="G4:G5">
    <cfRule type="cellIs" dxfId="10" priority="1" operator="equal">
      <formula>"-"</formula>
    </cfRule>
  </conditionalFormatting>
  <conditionalFormatting sqref="G4:G5">
    <cfRule type="expression" dxfId="11" priority="2">
      <formula>AND(ISNUMBER(G4),TRUNC(G4)&gt;TODAY())</formula>
    </cfRule>
  </conditionalFormatting>
  <conditionalFormatting sqref="C76">
    <cfRule type="notContainsBlanks" dxfId="7" priority="3">
      <formula>LEN(TRIM(C76))&gt;0</formula>
    </cfRule>
  </conditionalFormatting>
  <dataValidations>
    <dataValidation type="list" allowBlank="1" showErrorMessage="1" sqref="N4 N8 N14 N18 N24 N28 N34 N38 N44 N48 G6:G49">
      <formula1>"Apostas,Prodígio,Poço,-"</formula1>
    </dataValidation>
    <dataValidation type="list" allowBlank="1" showErrorMessage="1" sqref="M81">
      <formula1>"Nome"</formula1>
    </dataValidation>
    <dataValidation type="list" allowBlank="1" showErrorMessage="1" sqref="E6:E15 E20:E23 E28:E49">
      <formula1>"Tuna,Gustavo,Mira,Pipo,Pablo,Tavares,Sobral,Medicina,Literatus,Enfermagem,-"</formula1>
    </dataValidation>
    <dataValidation type="list" allowBlank="1" showErrorMessage="1" sqref="M83">
      <formula1>"-"</formula1>
    </dataValidation>
    <dataValidation type="list" allowBlank="1" showErrorMessage="1" sqref="M82">
      <formula1>"Nome"</formula1>
    </dataValidation>
    <dataValidation type="list" allowBlank="1" showErrorMessage="1" sqref="D4:D49">
      <formula1>"19h00,18h00,19h30,21h00,21h30,16h00"</formula1>
    </dataValidation>
    <dataValidation type="list" allowBlank="1" showErrorMessage="1" sqref="F8:F15 F18:F23 F26:F29 F31:F35 F40:F47">
      <formula1>"Gift,Monte,Sorte,Afonso,Geni,JP,-"</formula1>
    </dataValidation>
    <dataValidation type="list" allowBlank="1" showErrorMessage="1" sqref="E4:E5 L4:L5 L8:L9 L14:L15 E16:E19 L18:L19 L24:L25 E24:E27 L28:L29 L34:L35 L38:L39 L44:L45 L48:L49">
      <formula1>"Tuna,Gustavo,Mira,Pablo,Tavares,Pipo,Sobral,Medicina,Literatus,Enfermagem,-"</formula1>
    </dataValidation>
    <dataValidation type="list" allowBlank="1" showErrorMessage="1" sqref="M84">
      <formula1>" -"</formula1>
    </dataValidation>
    <dataValidation type="list" allowBlank="1" showErrorMessage="1" sqref="M4 F4:F7 M8 M14 F16:F17 M18 M24 F24:F25 M28 F30 M34 M38 F36:F39 M44 M48 F48:F49">
      <formula1>"Gift,Monte,Sorte,Afonso,Geni,JP,-"</formula1>
    </dataValidation>
    <dataValidation type="list" allowBlank="1" showErrorMessage="1" sqref="G4:G5">
      <formula1>"Apostas,Prodígio,Tiago,Pedro,-"</formula1>
    </dataValidation>
    <dataValidation type="custom" allowBlank="1" showDropDown="1" sqref="M56:M71 F56:F71 F77:F79 K77:K80">
      <formula1>AND(ISNUMBER(F56),(NOT(OR(NOT(ISERROR(DATEVALUE(F56))), AND(ISNUMBER(F56), LEFT(CELL("format", F56))="D")))))</formula1>
    </dataValidation>
    <dataValidation type="list" allowBlank="1" showErrorMessage="1" sqref="K4 K8 K14 K18 K24 K28 K34 K38 K44 K48">
      <formula1>"17h00"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10" max="10" width="5.75"/>
    <col customWidth="1" min="12" max="12" width="13.63"/>
    <col customWidth="1" min="13" max="13" width="12.38"/>
    <col customWidth="1" min="14" max="14" width="13.75"/>
  </cols>
  <sheetData>
    <row r="1">
      <c r="A1" s="1"/>
      <c r="B1" s="2" t="s">
        <v>1</v>
      </c>
    </row>
    <row r="2">
      <c r="A2" s="3"/>
      <c r="B2" s="4" t="s">
        <v>233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</row>
    <row r="4">
      <c r="A4" s="14"/>
      <c r="B4" s="15" t="s">
        <v>17</v>
      </c>
      <c r="C4" s="16">
        <v>1.0</v>
      </c>
      <c r="D4" s="17" t="s">
        <v>32</v>
      </c>
      <c r="E4" s="18" t="s">
        <v>22</v>
      </c>
      <c r="F4" s="18" t="s">
        <v>26</v>
      </c>
      <c r="G4" s="18" t="s">
        <v>19</v>
      </c>
    </row>
    <row r="5">
      <c r="A5" s="14"/>
      <c r="B5" s="23"/>
      <c r="C5" s="23"/>
      <c r="D5" s="17" t="s">
        <v>27</v>
      </c>
      <c r="E5" s="18" t="s">
        <v>22</v>
      </c>
      <c r="F5" s="18" t="s">
        <v>26</v>
      </c>
      <c r="G5" s="18" t="s">
        <v>19</v>
      </c>
    </row>
    <row r="6">
      <c r="A6" s="14"/>
      <c r="B6" s="191" t="s">
        <v>21</v>
      </c>
      <c r="C6" s="192">
        <v>2.0</v>
      </c>
      <c r="D6" s="17" t="s">
        <v>27</v>
      </c>
      <c r="E6" s="18" t="s">
        <v>22</v>
      </c>
      <c r="F6" s="18" t="s">
        <v>14</v>
      </c>
      <c r="G6" s="19" t="s">
        <v>19</v>
      </c>
    </row>
    <row r="7">
      <c r="A7" s="14"/>
      <c r="B7" s="191" t="s">
        <v>23</v>
      </c>
      <c r="C7" s="192">
        <v>3.0</v>
      </c>
      <c r="D7" s="17" t="s">
        <v>27</v>
      </c>
      <c r="E7" s="18" t="s">
        <v>13</v>
      </c>
      <c r="F7" s="18" t="s">
        <v>14</v>
      </c>
      <c r="G7" s="19" t="s">
        <v>19</v>
      </c>
    </row>
    <row r="8">
      <c r="A8" s="14"/>
      <c r="B8" s="25" t="s">
        <v>25</v>
      </c>
      <c r="C8" s="26">
        <v>4.0</v>
      </c>
      <c r="D8" s="17" t="s">
        <v>12</v>
      </c>
      <c r="E8" s="18" t="s">
        <v>22</v>
      </c>
      <c r="F8" s="18" t="s">
        <v>34</v>
      </c>
      <c r="G8" s="18" t="s">
        <v>15</v>
      </c>
    </row>
    <row r="9">
      <c r="A9" s="14"/>
      <c r="B9" s="23"/>
      <c r="C9" s="23"/>
      <c r="D9" s="17" t="s">
        <v>16</v>
      </c>
      <c r="E9" s="18" t="s">
        <v>22</v>
      </c>
      <c r="F9" s="18" t="s">
        <v>34</v>
      </c>
      <c r="G9" s="18" t="s">
        <v>15</v>
      </c>
    </row>
    <row r="10">
      <c r="A10" s="14"/>
      <c r="B10" s="25" t="s">
        <v>29</v>
      </c>
      <c r="C10" s="26">
        <v>5.0</v>
      </c>
      <c r="D10" s="17" t="s">
        <v>12</v>
      </c>
      <c r="E10" s="19" t="s">
        <v>13</v>
      </c>
      <c r="F10" s="18" t="s">
        <v>34</v>
      </c>
      <c r="G10" s="416" t="s">
        <v>15</v>
      </c>
    </row>
    <row r="11">
      <c r="A11" s="14"/>
      <c r="B11" s="23"/>
      <c r="C11" s="23"/>
      <c r="D11" s="17" t="s">
        <v>16</v>
      </c>
      <c r="E11" s="19" t="s">
        <v>13</v>
      </c>
      <c r="F11" s="18" t="s">
        <v>34</v>
      </c>
      <c r="G11" s="416" t="s">
        <v>15</v>
      </c>
    </row>
    <row r="12">
      <c r="A12" s="14"/>
      <c r="B12" s="25" t="s">
        <v>31</v>
      </c>
      <c r="C12" s="26">
        <v>6.0</v>
      </c>
      <c r="D12" s="17" t="s">
        <v>12</v>
      </c>
      <c r="E12" s="18" t="s">
        <v>22</v>
      </c>
      <c r="F12" s="18" t="s">
        <v>35</v>
      </c>
      <c r="G12" s="18" t="s">
        <v>19</v>
      </c>
    </row>
    <row r="13">
      <c r="A13" s="14"/>
      <c r="B13" s="23"/>
      <c r="C13" s="23"/>
      <c r="D13" s="17" t="s">
        <v>16</v>
      </c>
      <c r="E13" s="18" t="s">
        <v>22</v>
      </c>
      <c r="F13" s="18" t="s">
        <v>35</v>
      </c>
      <c r="G13" s="18" t="s">
        <v>19</v>
      </c>
    </row>
    <row r="14">
      <c r="A14" s="14"/>
      <c r="B14" s="191" t="s">
        <v>11</v>
      </c>
      <c r="C14" s="192">
        <v>7.0</v>
      </c>
      <c r="D14" s="17" t="s">
        <v>27</v>
      </c>
      <c r="E14" s="18" t="s">
        <v>30</v>
      </c>
      <c r="F14" s="18" t="s">
        <v>26</v>
      </c>
      <c r="G14" s="19" t="s">
        <v>15</v>
      </c>
    </row>
    <row r="15">
      <c r="A15" s="14"/>
      <c r="B15" s="191" t="s">
        <v>17</v>
      </c>
      <c r="C15" s="192">
        <v>8.0</v>
      </c>
      <c r="D15" s="17" t="s">
        <v>27</v>
      </c>
      <c r="E15" s="18" t="s">
        <v>13</v>
      </c>
      <c r="F15" s="18" t="s">
        <v>35</v>
      </c>
      <c r="G15" s="18" t="s">
        <v>19</v>
      </c>
    </row>
    <row r="16">
      <c r="A16" s="14"/>
      <c r="B16" s="191" t="s">
        <v>21</v>
      </c>
      <c r="C16" s="192">
        <v>9.0</v>
      </c>
      <c r="D16" s="17" t="s">
        <v>27</v>
      </c>
      <c r="E16" s="18" t="s">
        <v>22</v>
      </c>
      <c r="F16" s="19" t="s">
        <v>14</v>
      </c>
      <c r="G16" s="18" t="s">
        <v>19</v>
      </c>
    </row>
    <row r="17">
      <c r="A17" s="14"/>
      <c r="B17" s="191" t="s">
        <v>23</v>
      </c>
      <c r="C17" s="192">
        <v>10.0</v>
      </c>
      <c r="D17" s="17" t="s">
        <v>27</v>
      </c>
      <c r="E17" s="18" t="s">
        <v>30</v>
      </c>
      <c r="F17" s="18" t="s">
        <v>26</v>
      </c>
      <c r="G17" s="18" t="s">
        <v>15</v>
      </c>
    </row>
    <row r="18">
      <c r="A18" s="14"/>
      <c r="B18" s="25" t="s">
        <v>25</v>
      </c>
      <c r="C18" s="26">
        <v>11.0</v>
      </c>
      <c r="D18" s="17" t="s">
        <v>12</v>
      </c>
      <c r="E18" s="18" t="s">
        <v>44</v>
      </c>
      <c r="F18" s="18" t="s">
        <v>34</v>
      </c>
      <c r="G18" s="18" t="s">
        <v>15</v>
      </c>
    </row>
    <row r="19">
      <c r="A19" s="14"/>
      <c r="B19" s="23"/>
      <c r="C19" s="23"/>
      <c r="D19" s="17" t="s">
        <v>16</v>
      </c>
      <c r="E19" s="18" t="s">
        <v>44</v>
      </c>
      <c r="F19" s="18" t="s">
        <v>34</v>
      </c>
      <c r="G19" s="18" t="s">
        <v>15</v>
      </c>
    </row>
    <row r="20">
      <c r="A20" s="14"/>
      <c r="B20" s="25" t="s">
        <v>29</v>
      </c>
      <c r="C20" s="26">
        <v>12.0</v>
      </c>
      <c r="D20" s="17" t="s">
        <v>12</v>
      </c>
      <c r="E20" s="18" t="s">
        <v>30</v>
      </c>
      <c r="F20" s="18" t="s">
        <v>35</v>
      </c>
      <c r="G20" s="19" t="s">
        <v>19</v>
      </c>
    </row>
    <row r="21">
      <c r="A21" s="14"/>
      <c r="B21" s="23"/>
      <c r="C21" s="23"/>
      <c r="D21" s="17" t="s">
        <v>16</v>
      </c>
      <c r="E21" s="18" t="s">
        <v>30</v>
      </c>
      <c r="F21" s="18" t="s">
        <v>35</v>
      </c>
      <c r="G21" s="19" t="s">
        <v>19</v>
      </c>
    </row>
    <row r="22">
      <c r="A22" s="14"/>
      <c r="B22" s="25" t="s">
        <v>31</v>
      </c>
      <c r="C22" s="26">
        <v>13.0</v>
      </c>
      <c r="D22" s="17" t="s">
        <v>12</v>
      </c>
      <c r="E22" s="19" t="s">
        <v>30</v>
      </c>
      <c r="F22" s="18" t="s">
        <v>26</v>
      </c>
      <c r="G22" s="18" t="s">
        <v>19</v>
      </c>
    </row>
    <row r="23">
      <c r="A23" s="14"/>
      <c r="B23" s="23"/>
      <c r="C23" s="23"/>
      <c r="D23" s="17" t="s">
        <v>16</v>
      </c>
      <c r="E23" s="19" t="s">
        <v>30</v>
      </c>
      <c r="F23" s="18" t="s">
        <v>26</v>
      </c>
      <c r="G23" s="18" t="s">
        <v>19</v>
      </c>
    </row>
    <row r="24">
      <c r="A24" s="14"/>
      <c r="B24" s="191" t="s">
        <v>11</v>
      </c>
      <c r="C24" s="192">
        <v>14.0</v>
      </c>
      <c r="D24" s="17" t="s">
        <v>27</v>
      </c>
      <c r="E24" s="18" t="s">
        <v>43</v>
      </c>
      <c r="F24" s="19" t="s">
        <v>26</v>
      </c>
      <c r="G24" s="18" t="s">
        <v>15</v>
      </c>
      <c r="I24" s="11" t="s">
        <v>10</v>
      </c>
      <c r="J24" s="12"/>
      <c r="K24" s="12"/>
      <c r="L24" s="12"/>
      <c r="M24" s="12"/>
      <c r="N24" s="13"/>
    </row>
    <row r="25">
      <c r="A25" s="14"/>
      <c r="B25" s="15" t="s">
        <v>17</v>
      </c>
      <c r="C25" s="16">
        <v>15.0</v>
      </c>
      <c r="D25" s="17" t="s">
        <v>32</v>
      </c>
      <c r="E25" s="18" t="s">
        <v>22</v>
      </c>
      <c r="F25" s="18" t="s">
        <v>35</v>
      </c>
      <c r="G25" s="19" t="s">
        <v>19</v>
      </c>
      <c r="I25" s="200"/>
      <c r="N25" s="417"/>
    </row>
    <row r="26">
      <c r="A26" s="14"/>
      <c r="B26" s="23"/>
      <c r="C26" s="23"/>
      <c r="D26" s="17" t="s">
        <v>27</v>
      </c>
      <c r="E26" s="18" t="s">
        <v>22</v>
      </c>
      <c r="F26" s="18" t="s">
        <v>35</v>
      </c>
      <c r="G26" s="19" t="s">
        <v>19</v>
      </c>
      <c r="I26" s="418"/>
      <c r="J26" s="419"/>
      <c r="K26" s="419"/>
      <c r="L26" s="419"/>
      <c r="M26" s="419"/>
      <c r="N26" s="420"/>
    </row>
    <row r="27">
      <c r="A27" s="14"/>
      <c r="B27" s="191" t="s">
        <v>21</v>
      </c>
      <c r="C27" s="192">
        <v>16.0</v>
      </c>
      <c r="D27" s="17" t="s">
        <v>27</v>
      </c>
      <c r="E27" s="18" t="s">
        <v>13</v>
      </c>
      <c r="F27" s="18" t="s">
        <v>35</v>
      </c>
      <c r="G27" s="18" t="s">
        <v>19</v>
      </c>
    </row>
    <row r="28">
      <c r="A28" s="14"/>
      <c r="B28" s="191" t="s">
        <v>23</v>
      </c>
      <c r="C28" s="192">
        <v>17.0</v>
      </c>
      <c r="D28" s="17" t="s">
        <v>27</v>
      </c>
      <c r="E28" s="18" t="s">
        <v>22</v>
      </c>
      <c r="F28" s="19" t="s">
        <v>26</v>
      </c>
      <c r="G28" s="18" t="s">
        <v>19</v>
      </c>
    </row>
    <row r="29">
      <c r="A29" s="14"/>
      <c r="B29" s="25" t="s">
        <v>25</v>
      </c>
      <c r="C29" s="26">
        <v>18.0</v>
      </c>
      <c r="D29" s="17" t="s">
        <v>12</v>
      </c>
      <c r="E29" s="18" t="s">
        <v>201</v>
      </c>
      <c r="F29" s="19" t="s">
        <v>35</v>
      </c>
      <c r="G29" s="18" t="s">
        <v>15</v>
      </c>
      <c r="I29" s="421" t="s">
        <v>25</v>
      </c>
      <c r="J29" s="383">
        <v>18.0</v>
      </c>
      <c r="K29" s="422" t="s">
        <v>200</v>
      </c>
      <c r="L29" s="423" t="s">
        <v>22</v>
      </c>
      <c r="M29" s="424" t="s">
        <v>35</v>
      </c>
      <c r="N29" s="425" t="s">
        <v>19</v>
      </c>
    </row>
    <row r="30">
      <c r="A30" s="14"/>
      <c r="B30" s="23"/>
      <c r="C30" s="23"/>
      <c r="D30" s="17" t="s">
        <v>16</v>
      </c>
      <c r="E30" s="18" t="s">
        <v>201</v>
      </c>
      <c r="F30" s="354" t="s">
        <v>34</v>
      </c>
      <c r="G30" s="18" t="s">
        <v>15</v>
      </c>
      <c r="I30" s="207"/>
      <c r="J30" s="388"/>
      <c r="K30" s="388"/>
      <c r="L30" s="426" t="s">
        <v>13</v>
      </c>
      <c r="M30" s="427"/>
      <c r="N30" s="428"/>
    </row>
    <row r="31">
      <c r="A31" s="14"/>
      <c r="B31" s="25" t="s">
        <v>29</v>
      </c>
      <c r="C31" s="26">
        <v>19.0</v>
      </c>
      <c r="D31" s="17" t="s">
        <v>12</v>
      </c>
      <c r="E31" s="231" t="s">
        <v>43</v>
      </c>
      <c r="F31" s="354" t="s">
        <v>18</v>
      </c>
      <c r="G31" s="429" t="s">
        <v>19</v>
      </c>
      <c r="I31" s="49"/>
      <c r="J31" s="50"/>
      <c r="K31" s="50"/>
      <c r="L31" s="50"/>
      <c r="M31" s="50"/>
      <c r="N31" s="430"/>
    </row>
    <row r="32">
      <c r="A32" s="14"/>
      <c r="B32" s="23"/>
      <c r="C32" s="23"/>
      <c r="D32" s="17" t="s">
        <v>16</v>
      </c>
      <c r="E32" s="231" t="s">
        <v>43</v>
      </c>
      <c r="F32" s="354" t="s">
        <v>18</v>
      </c>
      <c r="G32" s="429" t="s">
        <v>19</v>
      </c>
      <c r="I32" s="391"/>
      <c r="J32" s="392"/>
      <c r="K32" s="392"/>
      <c r="L32" s="392"/>
      <c r="M32" s="392"/>
      <c r="N32" s="431"/>
    </row>
    <row r="33">
      <c r="A33" s="14"/>
      <c r="B33" s="25" t="s">
        <v>31</v>
      </c>
      <c r="C33" s="26">
        <v>20.0</v>
      </c>
      <c r="D33" s="17" t="s">
        <v>12</v>
      </c>
      <c r="E33" s="18" t="s">
        <v>13</v>
      </c>
      <c r="F33" s="381" t="s">
        <v>18</v>
      </c>
      <c r="G33" s="18" t="s">
        <v>19</v>
      </c>
      <c r="I33" s="218" t="s">
        <v>31</v>
      </c>
      <c r="J33" s="399">
        <v>20.0</v>
      </c>
      <c r="K33" s="432" t="s">
        <v>200</v>
      </c>
      <c r="L33" s="354" t="s">
        <v>22</v>
      </c>
      <c r="M33" s="354" t="s">
        <v>35</v>
      </c>
      <c r="N33" s="401" t="s">
        <v>15</v>
      </c>
    </row>
    <row r="34">
      <c r="A34" s="14"/>
      <c r="B34" s="23"/>
      <c r="C34" s="23"/>
      <c r="D34" s="17" t="s">
        <v>16</v>
      </c>
      <c r="E34" s="18" t="s">
        <v>13</v>
      </c>
      <c r="F34" s="19" t="s">
        <v>18</v>
      </c>
      <c r="G34" s="18" t="s">
        <v>19</v>
      </c>
      <c r="I34" s="207"/>
      <c r="J34" s="388"/>
      <c r="K34" s="388"/>
      <c r="L34" s="433" t="s">
        <v>43</v>
      </c>
      <c r="M34" s="434"/>
      <c r="N34" s="428"/>
    </row>
    <row r="35">
      <c r="A35" s="14"/>
      <c r="B35" s="191" t="s">
        <v>11</v>
      </c>
      <c r="C35" s="192">
        <v>21.0</v>
      </c>
      <c r="D35" s="17" t="s">
        <v>27</v>
      </c>
      <c r="E35" s="19" t="s">
        <v>13</v>
      </c>
      <c r="F35" s="19" t="s">
        <v>14</v>
      </c>
      <c r="G35" s="18" t="s">
        <v>15</v>
      </c>
      <c r="I35" s="49"/>
      <c r="J35" s="50"/>
      <c r="K35" s="50"/>
      <c r="L35" s="50"/>
      <c r="M35" s="435"/>
      <c r="N35" s="430"/>
    </row>
    <row r="36">
      <c r="A36" s="14"/>
      <c r="B36" s="191" t="s">
        <v>17</v>
      </c>
      <c r="C36" s="192">
        <v>22.0</v>
      </c>
      <c r="D36" s="17" t="s">
        <v>27</v>
      </c>
      <c r="E36" s="18" t="s">
        <v>30</v>
      </c>
      <c r="F36" s="19" t="s">
        <v>14</v>
      </c>
      <c r="G36" s="18" t="s">
        <v>15</v>
      </c>
      <c r="I36" s="49"/>
      <c r="J36" s="50"/>
      <c r="K36" s="50"/>
      <c r="L36" s="50"/>
      <c r="M36" s="435"/>
      <c r="N36" s="430"/>
    </row>
    <row r="37">
      <c r="A37" s="14"/>
      <c r="B37" s="191" t="s">
        <v>21</v>
      </c>
      <c r="C37" s="192">
        <v>23.0</v>
      </c>
      <c r="D37" s="17" t="s">
        <v>27</v>
      </c>
      <c r="E37" s="18" t="s">
        <v>22</v>
      </c>
      <c r="F37" s="19" t="s">
        <v>14</v>
      </c>
      <c r="G37" s="18" t="s">
        <v>19</v>
      </c>
      <c r="I37" s="49"/>
      <c r="J37" s="50"/>
      <c r="K37" s="50"/>
      <c r="L37" s="50"/>
      <c r="M37" s="50"/>
      <c r="N37" s="430"/>
    </row>
    <row r="38">
      <c r="A38" s="14"/>
      <c r="B38" s="191" t="s">
        <v>23</v>
      </c>
      <c r="C38" s="192">
        <v>24.0</v>
      </c>
      <c r="D38" s="17" t="s">
        <v>27</v>
      </c>
      <c r="E38" s="18" t="s">
        <v>13</v>
      </c>
      <c r="F38" s="19" t="s">
        <v>14</v>
      </c>
      <c r="G38" s="18" t="s">
        <v>15</v>
      </c>
      <c r="I38" s="391"/>
      <c r="J38" s="392"/>
      <c r="K38" s="392"/>
      <c r="L38" s="392"/>
      <c r="M38" s="392"/>
      <c r="N38" s="431"/>
    </row>
    <row r="39">
      <c r="A39" s="14"/>
      <c r="B39" s="25" t="s">
        <v>25</v>
      </c>
      <c r="C39" s="26">
        <v>25.0</v>
      </c>
      <c r="D39" s="17" t="s">
        <v>12</v>
      </c>
      <c r="E39" s="18" t="s">
        <v>44</v>
      </c>
      <c r="F39" s="19" t="s">
        <v>34</v>
      </c>
      <c r="G39" s="18" t="s">
        <v>19</v>
      </c>
      <c r="I39" s="218" t="s">
        <v>25</v>
      </c>
      <c r="J39" s="399">
        <v>25.0</v>
      </c>
      <c r="K39" s="432" t="s">
        <v>200</v>
      </c>
      <c r="L39" s="354" t="s">
        <v>28</v>
      </c>
      <c r="M39" s="354" t="s">
        <v>28</v>
      </c>
      <c r="N39" s="436" t="s">
        <v>28</v>
      </c>
    </row>
    <row r="40">
      <c r="A40" s="14"/>
      <c r="B40" s="23"/>
      <c r="C40" s="23"/>
      <c r="D40" s="17" t="s">
        <v>16</v>
      </c>
      <c r="E40" s="18" t="s">
        <v>44</v>
      </c>
      <c r="F40" s="19" t="s">
        <v>34</v>
      </c>
      <c r="G40" s="18" t="s">
        <v>19</v>
      </c>
      <c r="I40" s="207"/>
      <c r="J40" s="388"/>
      <c r="K40" s="388"/>
      <c r="L40" s="426" t="s">
        <v>28</v>
      </c>
      <c r="M40" s="427"/>
      <c r="N40" s="428"/>
    </row>
    <row r="41">
      <c r="A41" s="14"/>
      <c r="B41" s="25" t="s">
        <v>29</v>
      </c>
      <c r="C41" s="26">
        <v>26.0</v>
      </c>
      <c r="D41" s="17" t="s">
        <v>12</v>
      </c>
      <c r="E41" s="18" t="s">
        <v>13</v>
      </c>
      <c r="F41" s="19" t="s">
        <v>34</v>
      </c>
      <c r="G41" s="19" t="s">
        <v>15</v>
      </c>
      <c r="I41" s="49"/>
      <c r="J41" s="50"/>
      <c r="K41" s="50"/>
      <c r="L41" s="50"/>
      <c r="M41" s="50"/>
      <c r="N41" s="430"/>
    </row>
    <row r="42">
      <c r="A42" s="14"/>
      <c r="B42" s="23"/>
      <c r="C42" s="23"/>
      <c r="D42" s="17" t="s">
        <v>16</v>
      </c>
      <c r="E42" s="18" t="s">
        <v>13</v>
      </c>
      <c r="F42" s="354" t="s">
        <v>34</v>
      </c>
      <c r="G42" s="19" t="s">
        <v>15</v>
      </c>
      <c r="I42" s="391"/>
      <c r="J42" s="392"/>
      <c r="K42" s="392"/>
      <c r="L42" s="392"/>
      <c r="M42" s="392"/>
      <c r="N42" s="431"/>
    </row>
    <row r="43">
      <c r="A43" s="14"/>
      <c r="B43" s="25" t="s">
        <v>31</v>
      </c>
      <c r="C43" s="26">
        <v>27.0</v>
      </c>
      <c r="D43" s="17" t="s">
        <v>12</v>
      </c>
      <c r="E43" s="229" t="s">
        <v>30</v>
      </c>
      <c r="F43" s="354" t="s">
        <v>18</v>
      </c>
      <c r="G43" s="437" t="s">
        <v>15</v>
      </c>
      <c r="I43" s="404" t="s">
        <v>31</v>
      </c>
      <c r="J43" s="405">
        <v>27.0</v>
      </c>
      <c r="K43" s="344" t="s">
        <v>200</v>
      </c>
      <c r="L43" s="438" t="s">
        <v>28</v>
      </c>
      <c r="M43" s="438" t="s">
        <v>28</v>
      </c>
      <c r="N43" s="439" t="s">
        <v>28</v>
      </c>
    </row>
    <row r="44">
      <c r="A44" s="14"/>
      <c r="B44" s="23"/>
      <c r="C44" s="23"/>
      <c r="D44" s="17" t="s">
        <v>16</v>
      </c>
      <c r="E44" s="229" t="s">
        <v>30</v>
      </c>
      <c r="F44" s="354" t="s">
        <v>18</v>
      </c>
      <c r="G44" s="437" t="s">
        <v>15</v>
      </c>
      <c r="I44" s="406"/>
      <c r="J44" s="407"/>
      <c r="K44" s="407"/>
      <c r="L44" s="409" t="s">
        <v>28</v>
      </c>
      <c r="M44" s="440"/>
      <c r="N44" s="441"/>
    </row>
    <row r="45">
      <c r="A45" s="14"/>
      <c r="B45" s="191" t="s">
        <v>11</v>
      </c>
      <c r="C45" s="192">
        <v>28.0</v>
      </c>
      <c r="D45" s="17" t="s">
        <v>27</v>
      </c>
      <c r="E45" s="18" t="s">
        <v>43</v>
      </c>
      <c r="F45" s="381" t="s">
        <v>14</v>
      </c>
      <c r="G45" s="18" t="s">
        <v>19</v>
      </c>
      <c r="L45" s="63">
        <f>COUNTIF(L29:L44, "Mira") + Countif(L29:L44, "Tuna")+ Countif(L29:L44, "Gustavo")+ Countif(L29:L44, "Pablo")+ Countif(L29:L44, "Tavares")+ Countif(L29:L44, "Sobral") + Countif(L29:L44, "Pipo")+ Countif(L29:L44, "Enfermagem")+ Countif(L29:L44, "Literatus")+ Countif(L29:L44, "Medicina")</f>
        <v>4</v>
      </c>
      <c r="M45" s="64">
        <f>Countif(M29:M43, "Gift") + Countif(M29:M43, "Monte") + Countif(M29:M43, "Sorte") + Countif(M29:M43, "Afonso") + Countif(M29:M43, "Geni") + Countif(M29:M43, "JP")</f>
        <v>2</v>
      </c>
      <c r="N45" s="64">
        <f>Countif(N29:N43, "Apostas") + Countif(N29:N43, "Prodígio") + Countif(N29:N43, "Poço")</f>
        <v>2</v>
      </c>
    </row>
    <row r="46">
      <c r="A46" s="14"/>
      <c r="B46" s="15" t="s">
        <v>17</v>
      </c>
      <c r="C46" s="16">
        <v>29.0</v>
      </c>
      <c r="D46" s="17" t="s">
        <v>32</v>
      </c>
      <c r="E46" s="18" t="s">
        <v>13</v>
      </c>
      <c r="F46" s="381" t="s">
        <v>26</v>
      </c>
      <c r="G46" s="18" t="s">
        <v>19</v>
      </c>
    </row>
    <row r="47">
      <c r="A47" s="14"/>
      <c r="B47" s="23"/>
      <c r="C47" s="23"/>
      <c r="D47" s="17" t="s">
        <v>27</v>
      </c>
      <c r="E47" s="18" t="s">
        <v>13</v>
      </c>
      <c r="F47" s="19" t="s">
        <v>26</v>
      </c>
      <c r="G47" s="18" t="s">
        <v>19</v>
      </c>
    </row>
    <row r="48">
      <c r="A48" s="14"/>
      <c r="B48" s="191" t="s">
        <v>21</v>
      </c>
      <c r="C48" s="192">
        <v>30.0</v>
      </c>
      <c r="D48" s="17" t="s">
        <v>27</v>
      </c>
      <c r="E48" s="18" t="s">
        <v>13</v>
      </c>
      <c r="F48" s="18" t="s">
        <v>26</v>
      </c>
      <c r="G48" s="18" t="s">
        <v>15</v>
      </c>
    </row>
    <row r="49">
      <c r="A49" s="14"/>
      <c r="B49" s="191" t="s">
        <v>23</v>
      </c>
      <c r="C49" s="192">
        <v>31.0</v>
      </c>
      <c r="D49" s="17" t="s">
        <v>27</v>
      </c>
      <c r="E49" s="18" t="s">
        <v>30</v>
      </c>
      <c r="F49" s="18" t="s">
        <v>26</v>
      </c>
      <c r="G49" s="18" t="s">
        <v>15</v>
      </c>
      <c r="K49" s="1" t="s">
        <v>0</v>
      </c>
    </row>
    <row r="50">
      <c r="A50" s="14"/>
      <c r="B50" s="442"/>
      <c r="C50" s="16"/>
      <c r="D50" s="17"/>
      <c r="E50" s="193"/>
      <c r="F50" s="193"/>
      <c r="G50" s="193"/>
    </row>
    <row r="51">
      <c r="A51" s="14"/>
      <c r="B51" s="23"/>
      <c r="C51" s="443"/>
      <c r="D51" s="17"/>
      <c r="E51" s="193"/>
      <c r="F51" s="193"/>
      <c r="G51" s="193"/>
    </row>
    <row r="52">
      <c r="E52" s="63">
        <f>COUNTIF(E4:E51, "Mira") + Countif(E4:E51, "Tuna")+ Countif(E4:E51, "Gustavo")+ Countif(E4:E51, "Pablo")+ Countif(E4:E51, "Tavares")+ Countif(E4:E51, "Sobral") + Countif(E4:E51, "Pipo")+ Countif(E4:E51, "Enfermagem")+ Countif(E4:E51, "Literatus")+ Countif(E4:E51, "Medicina")</f>
        <v>46</v>
      </c>
      <c r="F52" s="63">
        <f>Countif(F4:F51, "Gift") + Countif(F4:F51, "Monte") + Countif(F4:F51, "Sorte") + Countif(F4:F51, "Afonso") + Countif(F4:F51, "Geni") + Countif(F4:F51, "JP")</f>
        <v>46</v>
      </c>
      <c r="G52" s="63">
        <f>Countif(G4:G51, "Apostas") + Countif(G4:G51, "Prodígio") + Countif(G4:G51, "Tiago")</f>
        <v>46</v>
      </c>
    </row>
    <row r="57" ht="22.5" customHeight="1">
      <c r="D57" s="65" t="s">
        <v>36</v>
      </c>
      <c r="E57" s="65" t="s">
        <v>37</v>
      </c>
      <c r="F57" s="65" t="s">
        <v>38</v>
      </c>
      <c r="G57" s="66" t="s">
        <v>39</v>
      </c>
      <c r="H57" s="67" t="s">
        <v>40</v>
      </c>
      <c r="K57" s="65" t="s">
        <v>36</v>
      </c>
      <c r="L57" s="65" t="s">
        <v>37</v>
      </c>
      <c r="M57" s="65" t="s">
        <v>38</v>
      </c>
      <c r="N57" s="66" t="s">
        <v>39</v>
      </c>
      <c r="O57" s="67" t="s">
        <v>40</v>
      </c>
      <c r="R57" s="68" t="s">
        <v>41</v>
      </c>
    </row>
    <row r="58" ht="22.5" customHeight="1">
      <c r="C58" s="69" t="s">
        <v>42</v>
      </c>
      <c r="D58" s="70" t="s">
        <v>22</v>
      </c>
      <c r="E58" s="71">
        <f>COUNTIF(E4:E51,"Tuna")</f>
        <v>12</v>
      </c>
      <c r="F58" s="72">
        <f t="shared" ref="F58:F73" si="1">((60/3)*E58)</f>
        <v>240</v>
      </c>
      <c r="G58" s="73">
        <f>E52</f>
        <v>46</v>
      </c>
      <c r="H58" s="74">
        <f>SUM(F58:F64)</f>
        <v>920</v>
      </c>
      <c r="J58" s="69" t="s">
        <v>42</v>
      </c>
      <c r="K58" s="70" t="s">
        <v>22</v>
      </c>
      <c r="L58" s="71">
        <f>COUNTIF(L4:L51,"Tuna")</f>
        <v>2</v>
      </c>
      <c r="M58" s="72">
        <f t="shared" ref="M58:M73" si="2">((75/3)*L58)</f>
        <v>50</v>
      </c>
      <c r="N58" s="73">
        <f>L45</f>
        <v>4</v>
      </c>
      <c r="O58" s="74">
        <f>SUM(M58:M64)</f>
        <v>100</v>
      </c>
      <c r="Q58" s="75" t="s">
        <v>22</v>
      </c>
      <c r="R58" s="76">
        <f t="shared" ref="R58:R73" si="3">SUM(F58,M58)</f>
        <v>290</v>
      </c>
    </row>
    <row r="59" ht="22.5" customHeight="1">
      <c r="C59" s="77"/>
      <c r="D59" s="78" t="s">
        <v>30</v>
      </c>
      <c r="E59" s="79">
        <f>COUNTIF(E4:E51,"Mira")</f>
        <v>10</v>
      </c>
      <c r="F59" s="80">
        <f t="shared" si="1"/>
        <v>200</v>
      </c>
      <c r="G59" s="81"/>
      <c r="H59" s="82"/>
      <c r="J59" s="77"/>
      <c r="K59" s="78" t="s">
        <v>30</v>
      </c>
      <c r="L59" s="79">
        <f>COUNTIF(L4:L51,"Mira")</f>
        <v>0</v>
      </c>
      <c r="M59" s="80">
        <f t="shared" si="2"/>
        <v>0</v>
      </c>
      <c r="N59" s="81"/>
      <c r="O59" s="82"/>
      <c r="Q59" s="83" t="s">
        <v>30</v>
      </c>
      <c r="R59" s="76">
        <f t="shared" si="3"/>
        <v>200</v>
      </c>
    </row>
    <row r="60" ht="22.5" customHeight="1">
      <c r="C60" s="77"/>
      <c r="D60" s="78" t="s">
        <v>43</v>
      </c>
      <c r="E60" s="79">
        <f>COUNTIF(E4:E51,"Pablo")</f>
        <v>4</v>
      </c>
      <c r="F60" s="84">
        <f t="shared" si="1"/>
        <v>80</v>
      </c>
      <c r="G60" s="81"/>
      <c r="H60" s="82"/>
      <c r="J60" s="77"/>
      <c r="K60" s="78" t="s">
        <v>43</v>
      </c>
      <c r="L60" s="79">
        <f>COUNTIF(L4:L51,"Pablo")</f>
        <v>1</v>
      </c>
      <c r="M60" s="84">
        <f t="shared" si="2"/>
        <v>25</v>
      </c>
      <c r="N60" s="81"/>
      <c r="O60" s="82"/>
      <c r="Q60" s="83" t="s">
        <v>43</v>
      </c>
      <c r="R60" s="76">
        <f t="shared" si="3"/>
        <v>105</v>
      </c>
    </row>
    <row r="61" ht="22.5" customHeight="1">
      <c r="C61" s="77"/>
      <c r="D61" s="78" t="s">
        <v>44</v>
      </c>
      <c r="E61" s="79">
        <f>COUNTIF(E4:E51,"Tavares")</f>
        <v>4</v>
      </c>
      <c r="F61" s="84">
        <f t="shared" si="1"/>
        <v>80</v>
      </c>
      <c r="G61" s="81"/>
      <c r="H61" s="82"/>
      <c r="J61" s="77"/>
      <c r="K61" s="78" t="s">
        <v>44</v>
      </c>
      <c r="L61" s="79">
        <f>COUNTIF(L4:L51,"Tavares")</f>
        <v>0</v>
      </c>
      <c r="M61" s="84">
        <f t="shared" si="2"/>
        <v>0</v>
      </c>
      <c r="N61" s="81"/>
      <c r="O61" s="82"/>
      <c r="Q61" s="83" t="s">
        <v>44</v>
      </c>
      <c r="R61" s="76">
        <f t="shared" si="3"/>
        <v>80</v>
      </c>
    </row>
    <row r="62" ht="22.5" customHeight="1">
      <c r="C62" s="77"/>
      <c r="D62" s="78" t="s">
        <v>13</v>
      </c>
      <c r="E62" s="79">
        <f>COUNTIF(E4:E51,"Pipo")</f>
        <v>14</v>
      </c>
      <c r="F62" s="84">
        <f t="shared" si="1"/>
        <v>280</v>
      </c>
      <c r="G62" s="81"/>
      <c r="H62" s="82"/>
      <c r="J62" s="77"/>
      <c r="K62" s="78" t="s">
        <v>13</v>
      </c>
      <c r="L62" s="79">
        <f>COUNTIF(L4:L51,"Pipo")</f>
        <v>1</v>
      </c>
      <c r="M62" s="84">
        <f t="shared" si="2"/>
        <v>25</v>
      </c>
      <c r="N62" s="81"/>
      <c r="O62" s="82"/>
      <c r="Q62" s="83" t="s">
        <v>13</v>
      </c>
      <c r="R62" s="76">
        <f t="shared" si="3"/>
        <v>305</v>
      </c>
    </row>
    <row r="63" ht="22.5" customHeight="1">
      <c r="C63" s="77"/>
      <c r="D63" s="78" t="s">
        <v>201</v>
      </c>
      <c r="E63" s="79">
        <f>COUNTIF(E7:E54,"Gustavo")</f>
        <v>2</v>
      </c>
      <c r="F63" s="84">
        <f t="shared" si="1"/>
        <v>40</v>
      </c>
      <c r="G63" s="81"/>
      <c r="H63" s="82"/>
      <c r="J63" s="77"/>
      <c r="K63" s="78" t="s">
        <v>201</v>
      </c>
      <c r="L63" s="79">
        <f>COUNTIF(L7:L54,"Gustavo")</f>
        <v>0</v>
      </c>
      <c r="M63" s="84">
        <f t="shared" si="2"/>
        <v>0</v>
      </c>
      <c r="N63" s="81"/>
      <c r="O63" s="82"/>
      <c r="Q63" s="83" t="s">
        <v>201</v>
      </c>
      <c r="R63" s="76">
        <f t="shared" si="3"/>
        <v>40</v>
      </c>
    </row>
    <row r="64" ht="22.5" customHeight="1">
      <c r="C64" s="91"/>
      <c r="D64" s="92" t="s">
        <v>207</v>
      </c>
      <c r="E64" s="93">
        <f>COUNTIF(E5:E52,"Sobral")</f>
        <v>0</v>
      </c>
      <c r="F64" s="94">
        <f t="shared" si="1"/>
        <v>0</v>
      </c>
      <c r="G64" s="95"/>
      <c r="H64" s="96"/>
      <c r="J64" s="91"/>
      <c r="K64" s="92" t="s">
        <v>207</v>
      </c>
      <c r="L64" s="93">
        <f>COUNTIF(L5:L52,"Sobral")</f>
        <v>0</v>
      </c>
      <c r="M64" s="94">
        <f t="shared" si="2"/>
        <v>0</v>
      </c>
      <c r="N64" s="95"/>
      <c r="O64" s="96"/>
      <c r="Q64" s="97" t="s">
        <v>207</v>
      </c>
      <c r="R64" s="98">
        <f t="shared" si="3"/>
        <v>0</v>
      </c>
    </row>
    <row r="65" ht="22.5" customHeight="1">
      <c r="C65" s="69" t="s">
        <v>47</v>
      </c>
      <c r="D65" s="99" t="s">
        <v>35</v>
      </c>
      <c r="E65" s="100">
        <f>Countif(F4:F51,"Gift")</f>
        <v>9</v>
      </c>
      <c r="F65" s="101">
        <f t="shared" si="1"/>
        <v>180</v>
      </c>
      <c r="G65" s="102">
        <f>F52</f>
        <v>46</v>
      </c>
      <c r="H65" s="103">
        <f>SUM(F65:F70)</f>
        <v>920</v>
      </c>
      <c r="J65" s="69" t="s">
        <v>47</v>
      </c>
      <c r="K65" s="99" t="s">
        <v>35</v>
      </c>
      <c r="L65" s="100">
        <f>Countif(M4:M51,"Gift")</f>
        <v>2</v>
      </c>
      <c r="M65" s="101">
        <f t="shared" si="2"/>
        <v>50</v>
      </c>
      <c r="N65" s="102">
        <f>M45</f>
        <v>2</v>
      </c>
      <c r="O65" s="103">
        <f>SUM(M65:M70)</f>
        <v>50</v>
      </c>
      <c r="Q65" s="104" t="s">
        <v>35</v>
      </c>
      <c r="R65" s="105">
        <f t="shared" si="3"/>
        <v>230</v>
      </c>
    </row>
    <row r="66" ht="22.5" customHeight="1">
      <c r="C66" s="77"/>
      <c r="D66" s="99" t="s">
        <v>34</v>
      </c>
      <c r="E66" s="100">
        <f>Countif(F4:F51,"Monte")</f>
        <v>11</v>
      </c>
      <c r="F66" s="101">
        <f t="shared" si="1"/>
        <v>220</v>
      </c>
      <c r="G66" s="106"/>
      <c r="H66" s="82"/>
      <c r="J66" s="77"/>
      <c r="K66" s="99" t="s">
        <v>34</v>
      </c>
      <c r="L66" s="100">
        <f>Countif(M4:M51,"Monte")</f>
        <v>0</v>
      </c>
      <c r="M66" s="101">
        <f t="shared" si="2"/>
        <v>0</v>
      </c>
      <c r="N66" s="106"/>
      <c r="O66" s="82"/>
      <c r="Q66" s="83" t="s">
        <v>34</v>
      </c>
      <c r="R66" s="76">
        <f t="shared" si="3"/>
        <v>220</v>
      </c>
    </row>
    <row r="67" ht="22.5" customHeight="1">
      <c r="C67" s="77"/>
      <c r="D67" s="99" t="s">
        <v>26</v>
      </c>
      <c r="E67" s="100">
        <f>Countif(F4:F51,"Sorte")</f>
        <v>12</v>
      </c>
      <c r="F67" s="101">
        <f t="shared" si="1"/>
        <v>240</v>
      </c>
      <c r="G67" s="106"/>
      <c r="H67" s="82"/>
      <c r="J67" s="77"/>
      <c r="K67" s="99" t="s">
        <v>26</v>
      </c>
      <c r="L67" s="100">
        <f>Countif(M4:M51,"Sorte")</f>
        <v>0</v>
      </c>
      <c r="M67" s="101">
        <f t="shared" si="2"/>
        <v>0</v>
      </c>
      <c r="N67" s="106"/>
      <c r="O67" s="82"/>
      <c r="Q67" s="83" t="s">
        <v>26</v>
      </c>
      <c r="R67" s="76">
        <f t="shared" si="3"/>
        <v>240</v>
      </c>
    </row>
    <row r="68" ht="22.5" customHeight="1">
      <c r="C68" s="77"/>
      <c r="D68" s="99" t="s">
        <v>14</v>
      </c>
      <c r="E68" s="100">
        <f>Countif(F4:F51,"Afonso")</f>
        <v>8</v>
      </c>
      <c r="F68" s="101">
        <f t="shared" si="1"/>
        <v>160</v>
      </c>
      <c r="G68" s="106"/>
      <c r="H68" s="82"/>
      <c r="J68" s="77"/>
      <c r="K68" s="99" t="s">
        <v>14</v>
      </c>
      <c r="L68" s="100">
        <f>Countif(M4:M51,"Afonso")</f>
        <v>0</v>
      </c>
      <c r="M68" s="101">
        <f t="shared" si="2"/>
        <v>0</v>
      </c>
      <c r="N68" s="106"/>
      <c r="O68" s="82"/>
      <c r="Q68" s="83" t="s">
        <v>14</v>
      </c>
      <c r="R68" s="76">
        <f t="shared" si="3"/>
        <v>160</v>
      </c>
    </row>
    <row r="69" ht="22.5" customHeight="1">
      <c r="C69" s="77"/>
      <c r="D69" s="99" t="s">
        <v>18</v>
      </c>
      <c r="E69" s="100">
        <f>Countif(F4:F51,"Geni")</f>
        <v>6</v>
      </c>
      <c r="F69" s="101">
        <f t="shared" si="1"/>
        <v>120</v>
      </c>
      <c r="G69" s="106"/>
      <c r="H69" s="82"/>
      <c r="J69" s="77"/>
      <c r="K69" s="99" t="s">
        <v>18</v>
      </c>
      <c r="L69" s="100">
        <f>Countif(M4:M51,"Geni")</f>
        <v>0</v>
      </c>
      <c r="M69" s="101">
        <f t="shared" si="2"/>
        <v>0</v>
      </c>
      <c r="N69" s="106"/>
      <c r="O69" s="82"/>
      <c r="Q69" s="83" t="s">
        <v>18</v>
      </c>
      <c r="R69" s="76">
        <f t="shared" si="3"/>
        <v>120</v>
      </c>
    </row>
    <row r="70" ht="22.5" customHeight="1">
      <c r="C70" s="91"/>
      <c r="D70" s="92" t="s">
        <v>48</v>
      </c>
      <c r="E70" s="93">
        <f>Countif(F4:F51,"JP")</f>
        <v>0</v>
      </c>
      <c r="F70" s="94">
        <f t="shared" si="1"/>
        <v>0</v>
      </c>
      <c r="G70" s="106"/>
      <c r="H70" s="82"/>
      <c r="J70" s="91"/>
      <c r="K70" s="92" t="s">
        <v>48</v>
      </c>
      <c r="L70" s="93">
        <f>Countif(M4:M51,"JP")</f>
        <v>0</v>
      </c>
      <c r="M70" s="94">
        <f t="shared" si="2"/>
        <v>0</v>
      </c>
      <c r="N70" s="106"/>
      <c r="O70" s="82"/>
      <c r="Q70" s="97" t="s">
        <v>48</v>
      </c>
      <c r="R70" s="98">
        <f t="shared" si="3"/>
        <v>0</v>
      </c>
    </row>
    <row r="71" ht="22.5" customHeight="1">
      <c r="C71" s="69" t="s">
        <v>49</v>
      </c>
      <c r="D71" s="114" t="s">
        <v>19</v>
      </c>
      <c r="E71" s="115">
        <f>Countif(G4:G51,"Apostas")</f>
        <v>26</v>
      </c>
      <c r="F71" s="112">
        <f t="shared" si="1"/>
        <v>520</v>
      </c>
      <c r="G71" s="73">
        <f>G52</f>
        <v>46</v>
      </c>
      <c r="H71" s="74">
        <f>SUM(F71:F73)</f>
        <v>920</v>
      </c>
      <c r="J71" s="69" t="s">
        <v>49</v>
      </c>
      <c r="K71" s="114" t="s">
        <v>19</v>
      </c>
      <c r="L71" s="115">
        <f>Countif(N4:N51,"Apostas")</f>
        <v>1</v>
      </c>
      <c r="M71" s="112">
        <f t="shared" si="2"/>
        <v>25</v>
      </c>
      <c r="N71" s="73">
        <f>N45</f>
        <v>2</v>
      </c>
      <c r="O71" s="74">
        <f>SUM(M71:M73)</f>
        <v>50</v>
      </c>
      <c r="Q71" s="104" t="s">
        <v>19</v>
      </c>
      <c r="R71" s="105">
        <f t="shared" si="3"/>
        <v>545</v>
      </c>
    </row>
    <row r="72" ht="22.5" customHeight="1">
      <c r="C72" s="77"/>
      <c r="D72" s="120" t="s">
        <v>15</v>
      </c>
      <c r="E72" s="121">
        <f>Countif(G4:G51,"Prodígio")</f>
        <v>20</v>
      </c>
      <c r="F72" s="119">
        <f t="shared" si="1"/>
        <v>400</v>
      </c>
      <c r="G72" s="81"/>
      <c r="H72" s="82"/>
      <c r="J72" s="77"/>
      <c r="K72" s="120" t="s">
        <v>15</v>
      </c>
      <c r="L72" s="121">
        <f>Countif(N4:N51,"Prodígio")</f>
        <v>1</v>
      </c>
      <c r="M72" s="119">
        <f t="shared" si="2"/>
        <v>25</v>
      </c>
      <c r="N72" s="81"/>
      <c r="O72" s="82"/>
      <c r="Q72" s="83" t="s">
        <v>15</v>
      </c>
      <c r="R72" s="76">
        <f t="shared" si="3"/>
        <v>425</v>
      </c>
    </row>
    <row r="73" ht="22.5" customHeight="1">
      <c r="C73" s="91"/>
      <c r="D73" s="412" t="s">
        <v>50</v>
      </c>
      <c r="E73" s="413">
        <f>Countif(G4:G51,"Poço")</f>
        <v>0</v>
      </c>
      <c r="F73" s="414">
        <f t="shared" si="1"/>
        <v>0</v>
      </c>
      <c r="G73" s="130"/>
      <c r="H73" s="127"/>
      <c r="J73" s="91"/>
      <c r="K73" s="412" t="s">
        <v>50</v>
      </c>
      <c r="L73" s="413">
        <f>Countif(N4:N51,"Poço")</f>
        <v>0</v>
      </c>
      <c r="M73" s="414">
        <f t="shared" si="2"/>
        <v>0</v>
      </c>
      <c r="N73" s="130"/>
      <c r="O73" s="127"/>
      <c r="Q73" s="415" t="s">
        <v>50</v>
      </c>
      <c r="R73" s="76">
        <f t="shared" si="3"/>
        <v>0</v>
      </c>
    </row>
    <row r="74">
      <c r="H74" s="132">
        <f>SUM(H58:H73)</f>
        <v>2760</v>
      </c>
      <c r="O74" s="132">
        <f>SUM(O58:O73)</f>
        <v>200</v>
      </c>
      <c r="Q74" s="133"/>
      <c r="R74" s="134">
        <f>SUM(H74+O74)</f>
        <v>2960</v>
      </c>
    </row>
    <row r="75">
      <c r="H75" s="135"/>
      <c r="O75" s="135"/>
      <c r="Q75" s="133"/>
      <c r="R75" s="135"/>
    </row>
    <row r="78" ht="22.5" customHeight="1">
      <c r="D78" s="136" t="s">
        <v>36</v>
      </c>
      <c r="E78" s="136" t="s">
        <v>37</v>
      </c>
      <c r="F78" s="136" t="s">
        <v>38</v>
      </c>
      <c r="G78" s="137" t="s">
        <v>40</v>
      </c>
      <c r="I78" s="138" t="s">
        <v>6</v>
      </c>
      <c r="J78" s="100" t="s">
        <v>51</v>
      </c>
      <c r="N78" s="139" t="s">
        <v>52</v>
      </c>
    </row>
    <row r="79" ht="22.5" customHeight="1">
      <c r="C79" s="140" t="s">
        <v>53</v>
      </c>
      <c r="D79" s="141" t="s">
        <v>54</v>
      </c>
      <c r="E79" s="142">
        <f>COUNTIF(E24:E51,"Medicina")</f>
        <v>0</v>
      </c>
      <c r="F79" s="143">
        <f t="shared" ref="F79:F81" si="4">((60/3)*E79)</f>
        <v>0</v>
      </c>
      <c r="G79" s="144">
        <f>SUM(F79:F81)</f>
        <v>0</v>
      </c>
      <c r="I79" s="145" t="s">
        <v>234</v>
      </c>
      <c r="J79" s="146">
        <v>20.0</v>
      </c>
      <c r="M79" s="147"/>
      <c r="N79" s="223" t="s">
        <v>56</v>
      </c>
      <c r="O79" s="373"/>
    </row>
    <row r="80" ht="22.5" customHeight="1">
      <c r="C80" s="116"/>
      <c r="D80" s="150" t="s">
        <v>57</v>
      </c>
      <c r="E80" s="88">
        <f>COUNTIF(E24:E51,"Literatus")</f>
        <v>0</v>
      </c>
      <c r="F80" s="151">
        <f t="shared" si="4"/>
        <v>0</v>
      </c>
      <c r="G80" s="152"/>
      <c r="I80" s="164" t="s">
        <v>235</v>
      </c>
      <c r="J80" s="165">
        <v>25.0</v>
      </c>
      <c r="M80" s="155"/>
      <c r="N80" s="225" t="s">
        <v>59</v>
      </c>
      <c r="O80" s="373"/>
    </row>
    <row r="81" ht="22.5" customHeight="1">
      <c r="C81" s="124"/>
      <c r="D81" s="158" t="s">
        <v>60</v>
      </c>
      <c r="E81" s="159">
        <f>COUNTIF(E24:E51,"Enfermagem")</f>
        <v>0</v>
      </c>
      <c r="F81" s="160">
        <f t="shared" si="4"/>
        <v>0</v>
      </c>
      <c r="G81" s="161"/>
      <c r="M81" s="162"/>
      <c r="N81" s="225" t="s">
        <v>62</v>
      </c>
      <c r="O81" s="373"/>
    </row>
    <row r="82">
      <c r="G82" s="375">
        <f>SUM(G79:G81)</f>
        <v>0</v>
      </c>
      <c r="M82" s="166"/>
      <c r="N82" s="223" t="s">
        <v>64</v>
      </c>
      <c r="O82" s="373"/>
    </row>
    <row r="83">
      <c r="G83" s="161"/>
      <c r="M83" s="376" t="s">
        <v>65</v>
      </c>
      <c r="N83" s="225" t="s">
        <v>66</v>
      </c>
      <c r="O83" s="373"/>
    </row>
    <row r="84">
      <c r="M84" s="168" t="s">
        <v>65</v>
      </c>
      <c r="N84" s="225" t="s">
        <v>202</v>
      </c>
      <c r="O84" s="373"/>
    </row>
    <row r="85">
      <c r="M85" s="169" t="s">
        <v>28</v>
      </c>
      <c r="N85" s="225" t="s">
        <v>203</v>
      </c>
      <c r="O85" s="373"/>
    </row>
    <row r="86">
      <c r="M86" s="170"/>
      <c r="N86" s="225" t="s">
        <v>69</v>
      </c>
      <c r="O86" s="373"/>
    </row>
    <row r="87">
      <c r="M87" s="171" t="s">
        <v>65</v>
      </c>
      <c r="N87" s="225" t="s">
        <v>68</v>
      </c>
      <c r="O87" s="373"/>
    </row>
    <row r="88">
      <c r="M88" s="377">
        <v>45.0</v>
      </c>
      <c r="N88" s="225" t="s">
        <v>71</v>
      </c>
      <c r="O88" s="373"/>
    </row>
  </sheetData>
  <mergeCells count="82">
    <mergeCell ref="B41:B42"/>
    <mergeCell ref="C41:C42"/>
    <mergeCell ref="B43:B44"/>
    <mergeCell ref="C43:C44"/>
    <mergeCell ref="I43:I44"/>
    <mergeCell ref="J43:J44"/>
    <mergeCell ref="K43:K44"/>
    <mergeCell ref="G58:G64"/>
    <mergeCell ref="G65:G70"/>
    <mergeCell ref="J58:J64"/>
    <mergeCell ref="J65:J70"/>
    <mergeCell ref="J71:J73"/>
    <mergeCell ref="C71:C73"/>
    <mergeCell ref="G71:G73"/>
    <mergeCell ref="H71:H73"/>
    <mergeCell ref="H74:H75"/>
    <mergeCell ref="B46:B47"/>
    <mergeCell ref="C46:C47"/>
    <mergeCell ref="B50:B51"/>
    <mergeCell ref="C58:C64"/>
    <mergeCell ref="H58:H64"/>
    <mergeCell ref="C65:C70"/>
    <mergeCell ref="H65:H70"/>
    <mergeCell ref="N81:O81"/>
    <mergeCell ref="N82:O82"/>
    <mergeCell ref="N84:O84"/>
    <mergeCell ref="N85:O85"/>
    <mergeCell ref="N86:O86"/>
    <mergeCell ref="N87:O87"/>
    <mergeCell ref="N88:O88"/>
    <mergeCell ref="O74:O75"/>
    <mergeCell ref="N78:O78"/>
    <mergeCell ref="C79:C81"/>
    <mergeCell ref="G79:G81"/>
    <mergeCell ref="N79:O79"/>
    <mergeCell ref="N80:O80"/>
    <mergeCell ref="G82:G83"/>
    <mergeCell ref="N83:O83"/>
    <mergeCell ref="B1:C1"/>
    <mergeCell ref="B2:G2"/>
    <mergeCell ref="J2:K2"/>
    <mergeCell ref="B4:B5"/>
    <mergeCell ref="C4:C5"/>
    <mergeCell ref="B8:B9"/>
    <mergeCell ref="C8:C9"/>
    <mergeCell ref="B10:B11"/>
    <mergeCell ref="C10:C11"/>
    <mergeCell ref="B12:B13"/>
    <mergeCell ref="C12:C13"/>
    <mergeCell ref="C18:C19"/>
    <mergeCell ref="C20:C21"/>
    <mergeCell ref="C22:C23"/>
    <mergeCell ref="I29:I30"/>
    <mergeCell ref="I33:I34"/>
    <mergeCell ref="J33:J34"/>
    <mergeCell ref="K33:K34"/>
    <mergeCell ref="B20:B21"/>
    <mergeCell ref="B22:B23"/>
    <mergeCell ref="I24:N26"/>
    <mergeCell ref="B25:B26"/>
    <mergeCell ref="C25:C26"/>
    <mergeCell ref="J29:J30"/>
    <mergeCell ref="K29:K30"/>
    <mergeCell ref="B39:B40"/>
    <mergeCell ref="C39:C40"/>
    <mergeCell ref="I39:I40"/>
    <mergeCell ref="J39:J40"/>
    <mergeCell ref="K39:K40"/>
    <mergeCell ref="B18:B19"/>
    <mergeCell ref="B29:B30"/>
    <mergeCell ref="C29:C30"/>
    <mergeCell ref="B31:B32"/>
    <mergeCell ref="C31:C32"/>
    <mergeCell ref="B33:B34"/>
    <mergeCell ref="C33:C34"/>
    <mergeCell ref="N58:N64"/>
    <mergeCell ref="O58:O64"/>
    <mergeCell ref="N65:N70"/>
    <mergeCell ref="O65:O70"/>
    <mergeCell ref="N71:N73"/>
    <mergeCell ref="O71:O73"/>
    <mergeCell ref="R74:R75"/>
  </mergeCells>
  <conditionalFormatting sqref="G14 G29:G32 G41:G42">
    <cfRule type="cellIs" dxfId="10" priority="1" operator="equal">
      <formula>"-"</formula>
    </cfRule>
  </conditionalFormatting>
  <conditionalFormatting sqref="G14 G29:G32 G41:G42">
    <cfRule type="expression" dxfId="11" priority="2">
      <formula>AND(ISNUMBER(G14),TRUNC(G14)&gt;TODAY())</formula>
    </cfRule>
  </conditionalFormatting>
  <conditionalFormatting sqref="C78">
    <cfRule type="notContainsBlanks" dxfId="7" priority="3">
      <formula>LEN(TRIM(C78))&gt;0</formula>
    </cfRule>
  </conditionalFormatting>
  <dataValidations>
    <dataValidation type="list" allowBlank="1" showErrorMessage="1" sqref="D4:D49 D51">
      <formula1>"19h00,18h00,19h30,21h00,21h30,16h00,-"</formula1>
    </dataValidation>
    <dataValidation type="list" allowBlank="1" showErrorMessage="1" sqref="D50">
      <formula1>"19h00,18h00,19h30,21h00,21h30,16h00"</formula1>
    </dataValidation>
    <dataValidation type="list" allowBlank="1" showErrorMessage="1" sqref="L29:L30 L33:L34 L39:L40 L43:L44 E4:E51">
      <formula1>"Tuna,Gustavo,Mira,Pablo,Tavares,Pipo,Sobral,Medicina,Literatus,Enfermagem,-"</formula1>
    </dataValidation>
    <dataValidation type="list" allowBlank="1" showErrorMessage="1" sqref="G4:G13 G15:G28 N29 N33 N39 G33:G40 N43 G43:G51">
      <formula1>"Apostas,Prodígio,Poço,-"</formula1>
    </dataValidation>
    <dataValidation type="list" allowBlank="1" showErrorMessage="1" sqref="M86">
      <formula1>" -"</formula1>
    </dataValidation>
    <dataValidation type="list" allowBlank="1" showErrorMessage="1" sqref="M83">
      <formula1>"Nome"</formula1>
    </dataValidation>
    <dataValidation type="list" allowBlank="1" showErrorMessage="1" sqref="M29 M33 M39 M43 F4:F51">
      <formula1>"Gift,Monte,Sorte,Afonso,Geni,JP,-"</formula1>
    </dataValidation>
    <dataValidation type="list" allowBlank="1" showErrorMessage="1" sqref="G14 G29:G32 G41:G42">
      <formula1>"Apostas,Prodígio,Tiago,Pedro,-"</formula1>
    </dataValidation>
    <dataValidation type="custom" allowBlank="1" showDropDown="1" sqref="F58:F73 M58:M73 J79:J80 F79:F81">
      <formula1>AND(ISNUMBER(F58),(NOT(OR(NOT(ISERROR(DATEVALUE(F58))), AND(ISNUMBER(F58), LEFT(CELL("format", F58))="D")))))</formula1>
    </dataValidation>
    <dataValidation type="list" allowBlank="1" showErrorMessage="1" sqref="K29 K33 K39 K43">
      <formula1>"17h00"</formula1>
    </dataValidation>
    <dataValidation type="list" allowBlank="1" showErrorMessage="1" sqref="M85">
      <formula1>"-"</formula1>
    </dataValidation>
    <dataValidation type="list" allowBlank="1" showErrorMessage="1" sqref="M84">
      <formula1>"Nome"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8" max="8" width="11.0"/>
  </cols>
  <sheetData>
    <row r="1">
      <c r="A1" s="1"/>
      <c r="B1" s="2" t="s">
        <v>1</v>
      </c>
    </row>
    <row r="2">
      <c r="A2" s="3"/>
      <c r="B2" s="4" t="s">
        <v>236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</row>
    <row r="4">
      <c r="A4" s="14"/>
      <c r="B4" s="25" t="s">
        <v>31</v>
      </c>
      <c r="C4" s="26">
        <v>1.0</v>
      </c>
      <c r="D4" s="17" t="s">
        <v>12</v>
      </c>
      <c r="E4" s="18" t="s">
        <v>30</v>
      </c>
      <c r="F4" s="18" t="s">
        <v>26</v>
      </c>
      <c r="G4" s="19" t="s">
        <v>15</v>
      </c>
    </row>
    <row r="5">
      <c r="A5" s="14"/>
      <c r="B5" s="23"/>
      <c r="C5" s="23"/>
      <c r="D5" s="17" t="s">
        <v>16</v>
      </c>
      <c r="E5" s="18" t="s">
        <v>30</v>
      </c>
      <c r="F5" s="18" t="s">
        <v>26</v>
      </c>
      <c r="G5" s="19" t="s">
        <v>15</v>
      </c>
    </row>
    <row r="6">
      <c r="A6" s="14"/>
      <c r="B6" s="191" t="s">
        <v>11</v>
      </c>
      <c r="C6" s="444">
        <v>2.0</v>
      </c>
      <c r="D6" s="17" t="s">
        <v>27</v>
      </c>
      <c r="E6" s="18" t="s">
        <v>22</v>
      </c>
      <c r="F6" s="18" t="s">
        <v>35</v>
      </c>
      <c r="G6" s="18" t="s">
        <v>15</v>
      </c>
    </row>
    <row r="7">
      <c r="A7" s="14"/>
      <c r="B7" s="191" t="s">
        <v>17</v>
      </c>
      <c r="C7" s="444">
        <v>3.0</v>
      </c>
      <c r="D7" s="17" t="s">
        <v>27</v>
      </c>
      <c r="E7" s="18" t="s">
        <v>22</v>
      </c>
      <c r="F7" s="19" t="s">
        <v>14</v>
      </c>
      <c r="G7" s="18" t="s">
        <v>15</v>
      </c>
    </row>
    <row r="8">
      <c r="A8" s="14"/>
      <c r="B8" s="191" t="s">
        <v>21</v>
      </c>
      <c r="C8" s="444">
        <v>4.0</v>
      </c>
      <c r="D8" s="17" t="s">
        <v>27</v>
      </c>
      <c r="E8" s="18" t="s">
        <v>22</v>
      </c>
      <c r="F8" s="19" t="s">
        <v>14</v>
      </c>
      <c r="G8" s="18" t="s">
        <v>15</v>
      </c>
    </row>
    <row r="9">
      <c r="A9" s="14"/>
      <c r="B9" s="191" t="s">
        <v>23</v>
      </c>
      <c r="C9" s="444">
        <v>5.0</v>
      </c>
      <c r="D9" s="17" t="s">
        <v>27</v>
      </c>
      <c r="E9" s="19" t="s">
        <v>43</v>
      </c>
      <c r="F9" s="19" t="s">
        <v>14</v>
      </c>
      <c r="G9" s="18" t="s">
        <v>15</v>
      </c>
    </row>
    <row r="10">
      <c r="A10" s="14"/>
      <c r="B10" s="25" t="s">
        <v>25</v>
      </c>
      <c r="C10" s="341">
        <v>6.0</v>
      </c>
      <c r="D10" s="17" t="s">
        <v>12</v>
      </c>
      <c r="E10" s="18" t="s">
        <v>44</v>
      </c>
      <c r="F10" s="18" t="s">
        <v>34</v>
      </c>
      <c r="G10" s="18" t="s">
        <v>15</v>
      </c>
    </row>
    <row r="11">
      <c r="A11" s="14"/>
      <c r="B11" s="23"/>
      <c r="C11" s="23"/>
      <c r="D11" s="17" t="s">
        <v>16</v>
      </c>
      <c r="E11" s="18" t="s">
        <v>43</v>
      </c>
      <c r="F11" s="18" t="s">
        <v>34</v>
      </c>
      <c r="G11" s="18" t="s">
        <v>15</v>
      </c>
    </row>
    <row r="12">
      <c r="A12" s="14"/>
      <c r="B12" s="25" t="s">
        <v>29</v>
      </c>
      <c r="C12" s="26">
        <v>7.0</v>
      </c>
      <c r="D12" s="17" t="s">
        <v>12</v>
      </c>
      <c r="E12" s="18" t="s">
        <v>22</v>
      </c>
      <c r="F12" s="18" t="s">
        <v>35</v>
      </c>
      <c r="G12" s="19" t="s">
        <v>19</v>
      </c>
    </row>
    <row r="13">
      <c r="A13" s="14"/>
      <c r="B13" s="23"/>
      <c r="C13" s="23"/>
      <c r="D13" s="17" t="s">
        <v>16</v>
      </c>
      <c r="E13" s="18" t="s">
        <v>22</v>
      </c>
      <c r="F13" s="18" t="s">
        <v>35</v>
      </c>
      <c r="G13" s="19" t="s">
        <v>19</v>
      </c>
    </row>
    <row r="14">
      <c r="A14" s="14"/>
      <c r="B14" s="25" t="s">
        <v>31</v>
      </c>
      <c r="C14" s="26">
        <v>8.0</v>
      </c>
      <c r="D14" s="17" t="s">
        <v>12</v>
      </c>
      <c r="E14" s="19" t="s">
        <v>44</v>
      </c>
      <c r="F14" s="18" t="s">
        <v>34</v>
      </c>
      <c r="G14" s="19" t="s">
        <v>19</v>
      </c>
    </row>
    <row r="15">
      <c r="A15" s="14"/>
      <c r="B15" s="23"/>
      <c r="C15" s="23"/>
      <c r="D15" s="17" t="s">
        <v>16</v>
      </c>
      <c r="E15" s="19" t="s">
        <v>44</v>
      </c>
      <c r="F15" s="18" t="s">
        <v>34</v>
      </c>
      <c r="G15" s="19" t="s">
        <v>19</v>
      </c>
    </row>
    <row r="16">
      <c r="A16" s="14"/>
      <c r="B16" s="15" t="s">
        <v>11</v>
      </c>
      <c r="C16" s="370">
        <v>9.0</v>
      </c>
      <c r="D16" s="17" t="s">
        <v>32</v>
      </c>
      <c r="E16" s="18" t="s">
        <v>44</v>
      </c>
      <c r="F16" s="18" t="s">
        <v>18</v>
      </c>
      <c r="G16" s="19" t="s">
        <v>19</v>
      </c>
    </row>
    <row r="17">
      <c r="A17" s="14"/>
      <c r="B17" s="23"/>
      <c r="C17" s="23"/>
      <c r="D17" s="17" t="s">
        <v>27</v>
      </c>
      <c r="E17" s="18" t="s">
        <v>43</v>
      </c>
      <c r="F17" s="19" t="s">
        <v>18</v>
      </c>
      <c r="G17" s="19" t="s">
        <v>19</v>
      </c>
    </row>
    <row r="18">
      <c r="A18" s="14"/>
      <c r="B18" s="191" t="s">
        <v>17</v>
      </c>
      <c r="C18" s="444">
        <v>10.0</v>
      </c>
      <c r="D18" s="17" t="s">
        <v>27</v>
      </c>
      <c r="E18" s="18" t="s">
        <v>30</v>
      </c>
      <c r="F18" s="19" t="s">
        <v>14</v>
      </c>
      <c r="G18" s="19" t="s">
        <v>19</v>
      </c>
    </row>
    <row r="19">
      <c r="A19" s="14"/>
      <c r="B19" s="191" t="s">
        <v>21</v>
      </c>
      <c r="C19" s="444">
        <v>11.0</v>
      </c>
      <c r="D19" s="17" t="s">
        <v>27</v>
      </c>
      <c r="E19" s="19" t="s">
        <v>44</v>
      </c>
      <c r="F19" s="18" t="s">
        <v>35</v>
      </c>
      <c r="G19" s="19" t="s">
        <v>19</v>
      </c>
    </row>
    <row r="20">
      <c r="A20" s="14"/>
      <c r="B20" s="191" t="s">
        <v>23</v>
      </c>
      <c r="C20" s="444">
        <v>12.0</v>
      </c>
      <c r="D20" s="17" t="s">
        <v>27</v>
      </c>
      <c r="E20" s="18" t="s">
        <v>30</v>
      </c>
      <c r="F20" s="19" t="s">
        <v>14</v>
      </c>
      <c r="G20" s="19" t="s">
        <v>19</v>
      </c>
    </row>
    <row r="21">
      <c r="A21" s="14"/>
      <c r="B21" s="25" t="s">
        <v>25</v>
      </c>
      <c r="C21" s="341">
        <v>13.0</v>
      </c>
      <c r="D21" s="17" t="s">
        <v>32</v>
      </c>
      <c r="E21" s="18" t="s">
        <v>44</v>
      </c>
      <c r="F21" s="18" t="s">
        <v>18</v>
      </c>
      <c r="G21" s="18" t="s">
        <v>24</v>
      </c>
    </row>
    <row r="22">
      <c r="A22" s="14"/>
      <c r="B22" s="24"/>
      <c r="C22" s="24"/>
      <c r="D22" s="17" t="s">
        <v>12</v>
      </c>
      <c r="E22" s="18" t="s">
        <v>44</v>
      </c>
      <c r="F22" s="18" t="s">
        <v>18</v>
      </c>
      <c r="G22" s="18" t="s">
        <v>24</v>
      </c>
    </row>
    <row r="23">
      <c r="A23" s="14"/>
      <c r="B23" s="23"/>
      <c r="C23" s="23"/>
      <c r="D23" s="17" t="s">
        <v>16</v>
      </c>
      <c r="E23" s="18" t="s">
        <v>43</v>
      </c>
      <c r="F23" s="18" t="s">
        <v>18</v>
      </c>
      <c r="G23" s="18" t="s">
        <v>24</v>
      </c>
    </row>
    <row r="24">
      <c r="A24" s="14"/>
      <c r="B24" s="25" t="s">
        <v>29</v>
      </c>
      <c r="C24" s="26">
        <v>14.0</v>
      </c>
      <c r="D24" s="17" t="s">
        <v>12</v>
      </c>
      <c r="E24" s="18" t="s">
        <v>30</v>
      </c>
      <c r="F24" s="18" t="s">
        <v>34</v>
      </c>
      <c r="G24" s="19" t="s">
        <v>19</v>
      </c>
    </row>
    <row r="25">
      <c r="A25" s="14"/>
      <c r="B25" s="23"/>
      <c r="C25" s="23"/>
      <c r="D25" s="17" t="s">
        <v>16</v>
      </c>
      <c r="E25" s="18" t="s">
        <v>30</v>
      </c>
      <c r="F25" s="18" t="s">
        <v>34</v>
      </c>
      <c r="G25" s="19" t="s">
        <v>19</v>
      </c>
    </row>
    <row r="26">
      <c r="A26" s="14"/>
      <c r="B26" s="25" t="s">
        <v>31</v>
      </c>
      <c r="C26" s="26">
        <v>15.0</v>
      </c>
      <c r="D26" s="17" t="s">
        <v>12</v>
      </c>
      <c r="E26" s="18" t="s">
        <v>22</v>
      </c>
      <c r="F26" s="19" t="s">
        <v>26</v>
      </c>
      <c r="G26" s="19" t="s">
        <v>19</v>
      </c>
    </row>
    <row r="27">
      <c r="A27" s="14"/>
      <c r="B27" s="23"/>
      <c r="C27" s="23"/>
      <c r="D27" s="17" t="s">
        <v>16</v>
      </c>
      <c r="E27" s="18" t="s">
        <v>22</v>
      </c>
      <c r="F27" s="19" t="s">
        <v>26</v>
      </c>
      <c r="G27" s="19" t="s">
        <v>19</v>
      </c>
    </row>
    <row r="28">
      <c r="A28" s="14"/>
      <c r="B28" s="191" t="s">
        <v>11</v>
      </c>
      <c r="C28" s="443">
        <v>16.0</v>
      </c>
      <c r="D28" s="17" t="s">
        <v>27</v>
      </c>
      <c r="E28" s="18" t="s">
        <v>30</v>
      </c>
      <c r="F28" s="18" t="s">
        <v>35</v>
      </c>
      <c r="G28" s="19" t="s">
        <v>15</v>
      </c>
    </row>
    <row r="29">
      <c r="A29" s="14"/>
      <c r="B29" s="191" t="s">
        <v>17</v>
      </c>
      <c r="C29" s="444">
        <v>17.0</v>
      </c>
      <c r="D29" s="17" t="s">
        <v>27</v>
      </c>
      <c r="E29" s="18" t="s">
        <v>22</v>
      </c>
      <c r="F29" s="18" t="s">
        <v>14</v>
      </c>
      <c r="G29" s="18" t="s">
        <v>15</v>
      </c>
    </row>
    <row r="30">
      <c r="A30" s="14"/>
      <c r="B30" s="191" t="s">
        <v>21</v>
      </c>
      <c r="C30" s="444">
        <v>18.0</v>
      </c>
      <c r="D30" s="17" t="s">
        <v>27</v>
      </c>
      <c r="E30" s="19" t="s">
        <v>22</v>
      </c>
      <c r="F30" s="18" t="s">
        <v>14</v>
      </c>
      <c r="G30" s="18" t="s">
        <v>15</v>
      </c>
    </row>
    <row r="31">
      <c r="A31" s="14"/>
      <c r="B31" s="191" t="s">
        <v>23</v>
      </c>
      <c r="C31" s="444">
        <v>19.0</v>
      </c>
      <c r="D31" s="17" t="s">
        <v>27</v>
      </c>
      <c r="E31" s="18" t="s">
        <v>22</v>
      </c>
      <c r="F31" s="18" t="s">
        <v>34</v>
      </c>
      <c r="G31" s="18" t="s">
        <v>15</v>
      </c>
    </row>
    <row r="32">
      <c r="A32" s="14"/>
      <c r="B32" s="25" t="s">
        <v>25</v>
      </c>
      <c r="C32" s="341">
        <v>20.0</v>
      </c>
      <c r="D32" s="17" t="s">
        <v>12</v>
      </c>
      <c r="E32" s="18" t="s">
        <v>22</v>
      </c>
      <c r="F32" s="18" t="s">
        <v>34</v>
      </c>
      <c r="G32" s="18" t="s">
        <v>15</v>
      </c>
    </row>
    <row r="33">
      <c r="A33" s="14"/>
      <c r="B33" s="23"/>
      <c r="C33" s="23"/>
      <c r="D33" s="17" t="s">
        <v>16</v>
      </c>
      <c r="E33" s="18" t="s">
        <v>22</v>
      </c>
      <c r="F33" s="18" t="s">
        <v>34</v>
      </c>
      <c r="G33" s="18" t="s">
        <v>15</v>
      </c>
    </row>
    <row r="34">
      <c r="A34" s="14"/>
      <c r="B34" s="25" t="s">
        <v>29</v>
      </c>
      <c r="C34" s="26">
        <v>21.0</v>
      </c>
      <c r="D34" s="17" t="s">
        <v>12</v>
      </c>
      <c r="E34" s="18" t="s">
        <v>22</v>
      </c>
      <c r="F34" s="18" t="s">
        <v>34</v>
      </c>
      <c r="G34" s="19" t="s">
        <v>19</v>
      </c>
    </row>
    <row r="35">
      <c r="A35" s="14"/>
      <c r="B35" s="23"/>
      <c r="C35" s="23"/>
      <c r="D35" s="17" t="s">
        <v>16</v>
      </c>
      <c r="E35" s="18" t="s">
        <v>22</v>
      </c>
      <c r="F35" s="18" t="s">
        <v>34</v>
      </c>
      <c r="G35" s="19" t="s">
        <v>19</v>
      </c>
    </row>
    <row r="36">
      <c r="A36" s="14"/>
      <c r="B36" s="25" t="s">
        <v>31</v>
      </c>
      <c r="C36" s="26">
        <v>22.0</v>
      </c>
      <c r="D36" s="17" t="s">
        <v>12</v>
      </c>
      <c r="E36" s="18" t="s">
        <v>22</v>
      </c>
      <c r="F36" s="18" t="s">
        <v>35</v>
      </c>
      <c r="G36" s="18" t="s">
        <v>19</v>
      </c>
    </row>
    <row r="37">
      <c r="A37" s="14"/>
      <c r="B37" s="23"/>
      <c r="C37" s="23"/>
      <c r="D37" s="17" t="s">
        <v>16</v>
      </c>
      <c r="E37" s="18" t="s">
        <v>22</v>
      </c>
      <c r="F37" s="18" t="s">
        <v>35</v>
      </c>
      <c r="G37" s="18" t="s">
        <v>19</v>
      </c>
    </row>
    <row r="38">
      <c r="A38" s="14"/>
      <c r="B38" s="191" t="s">
        <v>11</v>
      </c>
      <c r="C38" s="443">
        <v>23.0</v>
      </c>
      <c r="D38" s="17" t="s">
        <v>27</v>
      </c>
      <c r="E38" s="445" t="s">
        <v>28</v>
      </c>
      <c r="F38" s="445" t="s">
        <v>28</v>
      </c>
      <c r="G38" s="445" t="s">
        <v>28</v>
      </c>
    </row>
    <row r="39">
      <c r="A39" s="14"/>
      <c r="B39" s="15" t="s">
        <v>17</v>
      </c>
      <c r="C39" s="370">
        <v>24.0</v>
      </c>
      <c r="D39" s="17" t="s">
        <v>27</v>
      </c>
      <c r="E39" s="18" t="s">
        <v>22</v>
      </c>
      <c r="F39" s="19" t="s">
        <v>14</v>
      </c>
      <c r="G39" s="18" t="s">
        <v>15</v>
      </c>
    </row>
    <row r="40">
      <c r="A40" s="14"/>
      <c r="B40" s="191" t="s">
        <v>21</v>
      </c>
      <c r="C40" s="443">
        <v>25.0</v>
      </c>
      <c r="D40" s="17" t="s">
        <v>27</v>
      </c>
      <c r="E40" s="18" t="s">
        <v>30</v>
      </c>
      <c r="F40" s="19" t="s">
        <v>14</v>
      </c>
      <c r="G40" s="18" t="s">
        <v>15</v>
      </c>
    </row>
    <row r="41">
      <c r="A41" s="14"/>
      <c r="B41" s="191" t="s">
        <v>23</v>
      </c>
      <c r="C41" s="444">
        <v>26.0</v>
      </c>
      <c r="D41" s="17" t="s">
        <v>27</v>
      </c>
      <c r="E41" s="18" t="s">
        <v>43</v>
      </c>
      <c r="F41" s="19" t="s">
        <v>14</v>
      </c>
      <c r="G41" s="18" t="s">
        <v>15</v>
      </c>
    </row>
    <row r="42">
      <c r="A42" s="14"/>
      <c r="B42" s="25" t="s">
        <v>25</v>
      </c>
      <c r="C42" s="341">
        <v>27.0</v>
      </c>
      <c r="D42" s="17" t="s">
        <v>12</v>
      </c>
      <c r="E42" s="18" t="s">
        <v>30</v>
      </c>
      <c r="F42" s="18" t="s">
        <v>34</v>
      </c>
      <c r="G42" s="19" t="s">
        <v>19</v>
      </c>
    </row>
    <row r="43">
      <c r="A43" s="14"/>
      <c r="B43" s="23"/>
      <c r="C43" s="23"/>
      <c r="D43" s="17" t="s">
        <v>16</v>
      </c>
      <c r="E43" s="18" t="s">
        <v>30</v>
      </c>
      <c r="F43" s="18" t="s">
        <v>34</v>
      </c>
      <c r="G43" s="19" t="s">
        <v>19</v>
      </c>
    </row>
    <row r="44">
      <c r="A44" s="14"/>
      <c r="B44" s="25" t="s">
        <v>29</v>
      </c>
      <c r="C44" s="26">
        <v>28.0</v>
      </c>
      <c r="D44" s="17" t="s">
        <v>12</v>
      </c>
      <c r="E44" s="18" t="s">
        <v>22</v>
      </c>
      <c r="F44" s="19" t="s">
        <v>26</v>
      </c>
      <c r="G44" s="19" t="s">
        <v>19</v>
      </c>
    </row>
    <row r="45">
      <c r="A45" s="14"/>
      <c r="B45" s="23"/>
      <c r="C45" s="23"/>
      <c r="D45" s="17" t="s">
        <v>16</v>
      </c>
      <c r="E45" s="18" t="s">
        <v>22</v>
      </c>
      <c r="F45" s="19" t="s">
        <v>26</v>
      </c>
      <c r="G45" s="19" t="s">
        <v>19</v>
      </c>
    </row>
    <row r="46">
      <c r="A46" s="14"/>
      <c r="B46" s="25" t="s">
        <v>31</v>
      </c>
      <c r="C46" s="26">
        <v>29.0</v>
      </c>
      <c r="D46" s="17" t="s">
        <v>12</v>
      </c>
      <c r="E46" s="18" t="s">
        <v>43</v>
      </c>
      <c r="F46" s="19" t="s">
        <v>26</v>
      </c>
      <c r="G46" s="19" t="s">
        <v>19</v>
      </c>
    </row>
    <row r="47">
      <c r="A47" s="14"/>
      <c r="B47" s="23"/>
      <c r="C47" s="23"/>
      <c r="D47" s="17" t="s">
        <v>16</v>
      </c>
      <c r="E47" s="18" t="s">
        <v>43</v>
      </c>
      <c r="F47" s="19" t="s">
        <v>26</v>
      </c>
      <c r="G47" s="19" t="s">
        <v>19</v>
      </c>
    </row>
    <row r="48">
      <c r="A48" s="14"/>
      <c r="B48" s="57" t="s">
        <v>11</v>
      </c>
      <c r="C48" s="443">
        <v>30.0</v>
      </c>
      <c r="D48" s="17" t="s">
        <v>27</v>
      </c>
      <c r="E48" s="18" t="s">
        <v>22</v>
      </c>
      <c r="F48" s="19" t="s">
        <v>35</v>
      </c>
      <c r="G48" s="18" t="s">
        <v>15</v>
      </c>
    </row>
    <row r="49">
      <c r="A49" s="14"/>
      <c r="B49" s="442"/>
      <c r="C49" s="16"/>
      <c r="D49" s="17"/>
      <c r="E49" s="193"/>
      <c r="F49" s="193"/>
      <c r="G49" s="193"/>
    </row>
    <row r="50">
      <c r="A50" s="14"/>
      <c r="B50" s="23"/>
      <c r="C50" s="443"/>
      <c r="D50" s="17"/>
      <c r="E50" s="193"/>
      <c r="F50" s="193"/>
      <c r="G50" s="193"/>
    </row>
    <row r="51">
      <c r="E51" s="63">
        <f>COUNTIF(E4:E50, "Mira") + Countif(E4:E50, "Tuna")+ Countif(E4:E50, "Gustavo")+ Countif(E4:E50, "Pablo")+ Countif(E4:E50, "Tavares")+ Countif(E4:E50, "Sobral") + Countif(E4:E50, "Pipo")+ Countif(E4:E50, "Enfermagem")+ Countif(E4:E50, "Literatus")+ Countif(E4:E50, "Medicina")</f>
        <v>44</v>
      </c>
      <c r="F51" s="63">
        <f>Countif(F4:F50, "Gift") + Countif(F4:F50, "Monte") + Countif(F4:F50, "Sorte") + Countif(F4:F50, "Afonso") + Countif(F4:F50, "Geni") + Countif(F4:F50, "JP")</f>
        <v>44</v>
      </c>
      <c r="G51" s="63">
        <f>Countif(G4:G50, "Apostas") + Countif(G4:G50, "Prodígio") + Countif(G4:G50, "Tiago") + Countif(G4:G50, "Pedro")</f>
        <v>44</v>
      </c>
    </row>
    <row r="56" ht="22.5" customHeight="1">
      <c r="D56" s="65" t="s">
        <v>36</v>
      </c>
      <c r="E56" s="65" t="s">
        <v>37</v>
      </c>
      <c r="F56" s="65" t="s">
        <v>38</v>
      </c>
      <c r="G56" s="66" t="s">
        <v>39</v>
      </c>
      <c r="H56" s="67" t="s">
        <v>40</v>
      </c>
      <c r="K56" s="139" t="s">
        <v>52</v>
      </c>
    </row>
    <row r="57" ht="22.5" customHeight="1">
      <c r="C57" s="69" t="s">
        <v>42</v>
      </c>
      <c r="D57" s="70" t="s">
        <v>22</v>
      </c>
      <c r="E57" s="71">
        <f>COUNTIF(E4:E50,"Tuna")</f>
        <v>20</v>
      </c>
      <c r="F57" s="72">
        <f t="shared" ref="F57:F73" si="1">((60/3)*E57)</f>
        <v>400</v>
      </c>
      <c r="G57" s="73">
        <f>E51</f>
        <v>44</v>
      </c>
      <c r="H57" s="74">
        <f>SUM(F57:F63)</f>
        <v>880</v>
      </c>
      <c r="J57" s="147"/>
      <c r="K57" s="223" t="s">
        <v>56</v>
      </c>
      <c r="L57" s="373"/>
    </row>
    <row r="58" ht="22.5" customHeight="1">
      <c r="C58" s="77"/>
      <c r="D58" s="78" t="s">
        <v>30</v>
      </c>
      <c r="E58" s="79">
        <f>COUNTIF(E4:E50,"Mira")</f>
        <v>10</v>
      </c>
      <c r="F58" s="80">
        <f t="shared" si="1"/>
        <v>200</v>
      </c>
      <c r="G58" s="81"/>
      <c r="H58" s="82"/>
      <c r="J58" s="155"/>
      <c r="K58" s="225" t="s">
        <v>59</v>
      </c>
      <c r="L58" s="373"/>
    </row>
    <row r="59" ht="22.5" customHeight="1">
      <c r="C59" s="77"/>
      <c r="D59" s="78" t="s">
        <v>201</v>
      </c>
      <c r="E59" s="79">
        <f>COUNTIF(E4:E50,"Gustavo")</f>
        <v>0</v>
      </c>
      <c r="F59" s="80">
        <f t="shared" si="1"/>
        <v>0</v>
      </c>
      <c r="G59" s="81"/>
      <c r="H59" s="82"/>
      <c r="J59" s="162"/>
      <c r="K59" s="225" t="s">
        <v>62</v>
      </c>
      <c r="L59" s="373"/>
    </row>
    <row r="60" ht="22.5" customHeight="1">
      <c r="C60" s="77"/>
      <c r="D60" s="78" t="s">
        <v>43</v>
      </c>
      <c r="E60" s="79">
        <f>COUNTIF(E4:E50,"Pablo")</f>
        <v>7</v>
      </c>
      <c r="F60" s="84">
        <f t="shared" si="1"/>
        <v>140</v>
      </c>
      <c r="G60" s="81"/>
      <c r="H60" s="82"/>
      <c r="J60" s="166"/>
      <c r="K60" s="223" t="s">
        <v>64</v>
      </c>
      <c r="L60" s="373"/>
    </row>
    <row r="61" ht="22.5" customHeight="1">
      <c r="C61" s="77"/>
      <c r="D61" s="78" t="s">
        <v>44</v>
      </c>
      <c r="E61" s="79">
        <f>COUNTIF(E4:E50,"Tavares")</f>
        <v>7</v>
      </c>
      <c r="F61" s="84">
        <f t="shared" si="1"/>
        <v>140</v>
      </c>
      <c r="G61" s="81"/>
      <c r="H61" s="82"/>
      <c r="J61" s="376" t="s">
        <v>65</v>
      </c>
      <c r="K61" s="225" t="s">
        <v>66</v>
      </c>
      <c r="L61" s="373"/>
    </row>
    <row r="62" ht="22.5" customHeight="1">
      <c r="C62" s="77"/>
      <c r="D62" s="85" t="s">
        <v>207</v>
      </c>
      <c r="E62" s="86">
        <f>COUNTIF(E4:E50,"Sobral")</f>
        <v>0</v>
      </c>
      <c r="F62" s="87">
        <f t="shared" si="1"/>
        <v>0</v>
      </c>
      <c r="G62" s="81"/>
      <c r="H62" s="82"/>
      <c r="J62" s="168" t="s">
        <v>65</v>
      </c>
      <c r="K62" s="225" t="s">
        <v>202</v>
      </c>
      <c r="L62" s="373"/>
    </row>
    <row r="63" ht="22.5" customHeight="1">
      <c r="C63" s="91"/>
      <c r="D63" s="92" t="s">
        <v>13</v>
      </c>
      <c r="E63" s="93">
        <f>COUNTIF(E4:E50,"Pipo")</f>
        <v>0</v>
      </c>
      <c r="F63" s="94">
        <f t="shared" si="1"/>
        <v>0</v>
      </c>
      <c r="G63" s="95"/>
      <c r="H63" s="96"/>
      <c r="J63" s="169" t="s">
        <v>28</v>
      </c>
      <c r="K63" s="225" t="s">
        <v>203</v>
      </c>
      <c r="L63" s="373"/>
    </row>
    <row r="64" ht="22.5" customHeight="1">
      <c r="C64" s="69" t="s">
        <v>47</v>
      </c>
      <c r="D64" s="99" t="s">
        <v>35</v>
      </c>
      <c r="E64" s="100">
        <f>Countif(F4:F50,"Gift")</f>
        <v>8</v>
      </c>
      <c r="F64" s="101">
        <f t="shared" si="1"/>
        <v>160</v>
      </c>
      <c r="G64" s="102">
        <f>F51</f>
        <v>44</v>
      </c>
      <c r="H64" s="103">
        <f>SUM(F64:F69)</f>
        <v>880</v>
      </c>
      <c r="J64" s="170"/>
      <c r="K64" s="225" t="s">
        <v>69</v>
      </c>
      <c r="L64" s="373"/>
    </row>
    <row r="65" ht="22.5" customHeight="1">
      <c r="C65" s="77"/>
      <c r="D65" s="99" t="s">
        <v>34</v>
      </c>
      <c r="E65" s="100">
        <f>Countif(F4:F50,"Monte")</f>
        <v>13</v>
      </c>
      <c r="F65" s="101">
        <f t="shared" si="1"/>
        <v>260</v>
      </c>
      <c r="G65" s="106"/>
      <c r="H65" s="82"/>
      <c r="J65" s="171" t="s">
        <v>65</v>
      </c>
      <c r="K65" s="225" t="s">
        <v>68</v>
      </c>
      <c r="L65" s="373"/>
    </row>
    <row r="66" ht="22.5" customHeight="1">
      <c r="C66" s="77"/>
      <c r="D66" s="99" t="s">
        <v>26</v>
      </c>
      <c r="E66" s="100">
        <f>Countif(F4:F50,"Sorte")</f>
        <v>8</v>
      </c>
      <c r="F66" s="101">
        <f t="shared" si="1"/>
        <v>160</v>
      </c>
      <c r="G66" s="106"/>
      <c r="H66" s="82"/>
      <c r="J66" s="377">
        <v>44.0</v>
      </c>
      <c r="K66" s="225" t="s">
        <v>71</v>
      </c>
      <c r="L66" s="373"/>
    </row>
    <row r="67" ht="22.5" customHeight="1">
      <c r="C67" s="77"/>
      <c r="D67" s="99" t="s">
        <v>14</v>
      </c>
      <c r="E67" s="100">
        <f>Countif(F4:F50,"Afonso")</f>
        <v>10</v>
      </c>
      <c r="F67" s="101">
        <f t="shared" si="1"/>
        <v>200</v>
      </c>
      <c r="G67" s="106"/>
      <c r="H67" s="82"/>
    </row>
    <row r="68" ht="22.5" customHeight="1">
      <c r="C68" s="77"/>
      <c r="D68" s="85" t="s">
        <v>18</v>
      </c>
      <c r="E68" s="86">
        <f>Countif(F4:F50,"Geni")</f>
        <v>5</v>
      </c>
      <c r="F68" s="87">
        <f t="shared" si="1"/>
        <v>100</v>
      </c>
      <c r="G68" s="106"/>
      <c r="H68" s="82"/>
    </row>
    <row r="69" ht="22.5" customHeight="1">
      <c r="C69" s="91"/>
      <c r="D69" s="99" t="s">
        <v>48</v>
      </c>
      <c r="E69" s="100">
        <f>Countif(F4:F50,"JP")</f>
        <v>0</v>
      </c>
      <c r="F69" s="101">
        <f t="shared" si="1"/>
        <v>0</v>
      </c>
      <c r="G69" s="106"/>
      <c r="H69" s="82"/>
    </row>
    <row r="70" ht="22.5" customHeight="1">
      <c r="C70" s="69" t="s">
        <v>49</v>
      </c>
      <c r="D70" s="114" t="s">
        <v>19</v>
      </c>
      <c r="E70" s="115">
        <f>Countif(G4:G50,"Apostas")</f>
        <v>23</v>
      </c>
      <c r="F70" s="112">
        <f t="shared" si="1"/>
        <v>460</v>
      </c>
      <c r="G70" s="73">
        <f>G51</f>
        <v>44</v>
      </c>
      <c r="H70" s="74">
        <f>SUM(F70:F73)</f>
        <v>880</v>
      </c>
    </row>
    <row r="71" ht="22.5" customHeight="1">
      <c r="C71" s="77"/>
      <c r="D71" s="120" t="s">
        <v>15</v>
      </c>
      <c r="E71" s="121">
        <f>Countif(G4:G50,"Prodígio")</f>
        <v>18</v>
      </c>
      <c r="F71" s="119">
        <f t="shared" si="1"/>
        <v>360</v>
      </c>
      <c r="G71" s="81"/>
      <c r="H71" s="82"/>
    </row>
    <row r="72" ht="22.5" customHeight="1">
      <c r="C72" s="77"/>
      <c r="D72" s="120" t="s">
        <v>237</v>
      </c>
      <c r="E72" s="121">
        <f>Countif(G4:G50,"Tiago")</f>
        <v>0</v>
      </c>
      <c r="F72" s="119">
        <f t="shared" si="1"/>
        <v>0</v>
      </c>
      <c r="G72" s="81"/>
      <c r="H72" s="82"/>
    </row>
    <row r="73" ht="22.5" customHeight="1">
      <c r="C73" s="91"/>
      <c r="D73" s="120" t="s">
        <v>24</v>
      </c>
      <c r="E73" s="121">
        <f>Countif(G5:G51,"Pedro")</f>
        <v>3</v>
      </c>
      <c r="F73" s="119">
        <f t="shared" si="1"/>
        <v>60</v>
      </c>
      <c r="G73" s="130"/>
      <c r="H73" s="127"/>
    </row>
    <row r="74">
      <c r="H74" s="446">
        <f>SUM(H57:H73)</f>
        <v>2640</v>
      </c>
    </row>
    <row r="77" ht="22.5" customHeight="1">
      <c r="D77" s="136" t="s">
        <v>36</v>
      </c>
      <c r="E77" s="136" t="s">
        <v>37</v>
      </c>
      <c r="F77" s="136" t="s">
        <v>38</v>
      </c>
      <c r="G77" s="137" t="s">
        <v>40</v>
      </c>
      <c r="J77" s="138" t="s">
        <v>6</v>
      </c>
      <c r="K77" s="100" t="s">
        <v>51</v>
      </c>
    </row>
    <row r="78" ht="22.5" customHeight="1">
      <c r="C78" s="140" t="s">
        <v>53</v>
      </c>
      <c r="D78" s="141" t="s">
        <v>54</v>
      </c>
      <c r="E78" s="142">
        <f>COUNTIF(E25:E50,"Medicina")</f>
        <v>0</v>
      </c>
      <c r="F78" s="143">
        <f t="shared" ref="F78:F80" si="2">((60/3)*E78)</f>
        <v>0</v>
      </c>
      <c r="G78" s="144">
        <f>SUM(F78:F80)</f>
        <v>0</v>
      </c>
      <c r="J78" s="145" t="s">
        <v>55</v>
      </c>
      <c r="K78" s="146">
        <v>20.0</v>
      </c>
    </row>
    <row r="79" ht="22.5" customHeight="1">
      <c r="C79" s="116"/>
      <c r="D79" s="150" t="s">
        <v>57</v>
      </c>
      <c r="E79" s="88">
        <f>COUNTIF(E25:E50,"Literatus")</f>
        <v>0</v>
      </c>
      <c r="F79" s="151">
        <f t="shared" si="2"/>
        <v>0</v>
      </c>
      <c r="G79" s="152"/>
      <c r="J79" s="153" t="s">
        <v>58</v>
      </c>
      <c r="K79" s="154">
        <v>20.0</v>
      </c>
    </row>
    <row r="80" ht="22.5" customHeight="1">
      <c r="C80" s="124"/>
      <c r="D80" s="158" t="s">
        <v>60</v>
      </c>
      <c r="E80" s="159">
        <f>COUNTIF(E25:E50,"Enfermagem")</f>
        <v>0</v>
      </c>
      <c r="F80" s="160">
        <f t="shared" si="2"/>
        <v>0</v>
      </c>
      <c r="G80" s="161"/>
      <c r="J80" s="153" t="s">
        <v>61</v>
      </c>
      <c r="K80" s="154">
        <v>20.0</v>
      </c>
    </row>
    <row r="81" ht="22.5" customHeight="1">
      <c r="G81" s="375">
        <f>SUM(G78:G80)</f>
        <v>0</v>
      </c>
      <c r="J81" s="164" t="s">
        <v>63</v>
      </c>
      <c r="K81" s="165">
        <v>20.0</v>
      </c>
    </row>
    <row r="82">
      <c r="G82" s="161"/>
    </row>
  </sheetData>
  <mergeCells count="55">
    <mergeCell ref="B44:B45"/>
    <mergeCell ref="B46:B47"/>
    <mergeCell ref="B49:B50"/>
    <mergeCell ref="K56:L56"/>
    <mergeCell ref="K57:L57"/>
    <mergeCell ref="K58:L58"/>
    <mergeCell ref="K59:L59"/>
    <mergeCell ref="C46:C47"/>
    <mergeCell ref="C57:C63"/>
    <mergeCell ref="G57:G63"/>
    <mergeCell ref="H57:H63"/>
    <mergeCell ref="G64:G69"/>
    <mergeCell ref="H64:H69"/>
    <mergeCell ref="H70:H73"/>
    <mergeCell ref="B1:C1"/>
    <mergeCell ref="B2:G2"/>
    <mergeCell ref="J2:K2"/>
    <mergeCell ref="B4:B5"/>
    <mergeCell ref="C4:C5"/>
    <mergeCell ref="B10:B11"/>
    <mergeCell ref="C10:C11"/>
    <mergeCell ref="B12:B13"/>
    <mergeCell ref="C12:C13"/>
    <mergeCell ref="B14:B15"/>
    <mergeCell ref="C14:C15"/>
    <mergeCell ref="B16:B17"/>
    <mergeCell ref="C16:C17"/>
    <mergeCell ref="C21:C23"/>
    <mergeCell ref="B21:B23"/>
    <mergeCell ref="B24:B25"/>
    <mergeCell ref="B26:B27"/>
    <mergeCell ref="B32:B33"/>
    <mergeCell ref="B34:B35"/>
    <mergeCell ref="B36:B37"/>
    <mergeCell ref="B42:B43"/>
    <mergeCell ref="K60:L60"/>
    <mergeCell ref="K61:L61"/>
    <mergeCell ref="K62:L62"/>
    <mergeCell ref="K63:L63"/>
    <mergeCell ref="K64:L64"/>
    <mergeCell ref="K65:L65"/>
    <mergeCell ref="K66:L66"/>
    <mergeCell ref="C64:C69"/>
    <mergeCell ref="C70:C73"/>
    <mergeCell ref="C78:C80"/>
    <mergeCell ref="C24:C25"/>
    <mergeCell ref="C26:C27"/>
    <mergeCell ref="C32:C33"/>
    <mergeCell ref="C34:C35"/>
    <mergeCell ref="C36:C37"/>
    <mergeCell ref="C42:C43"/>
    <mergeCell ref="C44:C45"/>
    <mergeCell ref="G70:G73"/>
    <mergeCell ref="G78:G80"/>
    <mergeCell ref="G81:G82"/>
  </mergeCells>
  <conditionalFormatting sqref="G4:G5 G12:G20 G24:G28 G34:G35 G42:G47">
    <cfRule type="cellIs" dxfId="10" priority="1" operator="equal">
      <formula>"-"</formula>
    </cfRule>
  </conditionalFormatting>
  <conditionalFormatting sqref="G4:G5 G12:G20 G24:G28 G34:G35 G42:G47">
    <cfRule type="expression" dxfId="11" priority="2">
      <formula>AND(ISNUMBER(G4),TRUNC(G4)&gt;TODAY())</formula>
    </cfRule>
  </conditionalFormatting>
  <conditionalFormatting sqref="C77">
    <cfRule type="notContainsBlanks" dxfId="7" priority="3">
      <formula>LEN(TRIM(C77))&gt;0</formula>
    </cfRule>
  </conditionalFormatting>
  <dataValidations>
    <dataValidation type="list" allowBlank="1" showErrorMessage="1" sqref="D4:D48 D50">
      <formula1>"19h00,18h00,19h30,21h00,21h30,16h00,-"</formula1>
    </dataValidation>
    <dataValidation type="list" allowBlank="1" showErrorMessage="1" sqref="F4:F50">
      <formula1>"Gift,Monte,Sorte,Afonso,Geni,JP,-"</formula1>
    </dataValidation>
    <dataValidation type="list" allowBlank="1" showErrorMessage="1" sqref="D49">
      <formula1>"19h00,18h00,19h30,21h00,21h30,16h00"</formula1>
    </dataValidation>
    <dataValidation type="list" allowBlank="1" showErrorMessage="1" sqref="J64">
      <formula1>" -"</formula1>
    </dataValidation>
    <dataValidation type="list" allowBlank="1" showErrorMessage="1" sqref="E4:E50">
      <formula1>"Tuna,Gustavo,Mira,Pablo,Tavares,Sobral,Pipo,Medicina,Literatus,Enfermagem,-"</formula1>
    </dataValidation>
    <dataValidation type="list" allowBlank="1" showErrorMessage="1" sqref="J61">
      <formula1>"Nome"</formula1>
    </dataValidation>
    <dataValidation type="list" allowBlank="1" showErrorMessage="1" sqref="G4:G50">
      <formula1>"Apostas,Prodígio,Tiago,Pedro,-"</formula1>
    </dataValidation>
    <dataValidation type="custom" allowBlank="1" showDropDown="1" sqref="F57:F73 F78:F80 K78:K81">
      <formula1>AND(ISNUMBER(F57),(NOT(OR(NOT(ISERROR(DATEVALUE(F57))), AND(ISNUMBER(F57), LEFT(CELL("format", F57))="D")))))</formula1>
    </dataValidation>
    <dataValidation type="list" allowBlank="1" showErrorMessage="1" sqref="J63">
      <formula1>"-"</formula1>
    </dataValidation>
    <dataValidation type="list" allowBlank="1" showErrorMessage="1" sqref="J62">
      <formula1>"Nome"</formula1>
    </dataValidation>
  </dataValidations>
  <drawing r:id="rId1"/>
  <tableParts count="3"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3" max="3" width="5.25"/>
    <col customWidth="1" min="5" max="5" width="13.63"/>
    <col customWidth="1" min="6" max="6" width="14.75"/>
    <col customWidth="1" min="7" max="7" width="13.63"/>
    <col customWidth="1" min="8" max="8" width="8.63"/>
    <col customWidth="1" min="9" max="9" width="11.13"/>
  </cols>
  <sheetData>
    <row r="1">
      <c r="A1" s="1"/>
      <c r="B1" s="2" t="s">
        <v>1</v>
      </c>
    </row>
    <row r="2">
      <c r="A2" s="3"/>
      <c r="B2" s="4" t="s">
        <v>204</v>
      </c>
      <c r="I2" s="5" t="s">
        <v>3</v>
      </c>
      <c r="J2" s="6">
        <f>TODAY()</f>
        <v>46182</v>
      </c>
      <c r="K2" s="7"/>
    </row>
    <row r="3">
      <c r="A3" s="8"/>
      <c r="B3" s="9" t="s">
        <v>4</v>
      </c>
      <c r="C3" s="9" t="s">
        <v>5</v>
      </c>
      <c r="D3" s="8" t="s">
        <v>6</v>
      </c>
      <c r="E3" s="10" t="s">
        <v>7</v>
      </c>
      <c r="F3" s="10" t="s">
        <v>8</v>
      </c>
      <c r="G3" s="10" t="s">
        <v>9</v>
      </c>
    </row>
    <row r="4">
      <c r="A4" s="14"/>
      <c r="B4" s="191" t="s">
        <v>23</v>
      </c>
      <c r="C4" s="192">
        <v>1.0</v>
      </c>
      <c r="D4" s="17" t="s">
        <v>27</v>
      </c>
      <c r="E4" s="18" t="s">
        <v>44</v>
      </c>
      <c r="F4" s="19" t="s">
        <v>26</v>
      </c>
      <c r="G4" s="19" t="s">
        <v>15</v>
      </c>
    </row>
    <row r="5">
      <c r="A5" s="14"/>
      <c r="B5" s="25" t="s">
        <v>25</v>
      </c>
      <c r="C5" s="26">
        <v>2.0</v>
      </c>
      <c r="D5" s="17" t="s">
        <v>12</v>
      </c>
      <c r="E5" s="18" t="s">
        <v>30</v>
      </c>
      <c r="F5" s="18" t="s">
        <v>34</v>
      </c>
      <c r="G5" s="19" t="s">
        <v>15</v>
      </c>
    </row>
    <row r="6">
      <c r="A6" s="14"/>
      <c r="B6" s="23"/>
      <c r="C6" s="23"/>
      <c r="D6" s="17" t="s">
        <v>16</v>
      </c>
      <c r="E6" s="18" t="s">
        <v>30</v>
      </c>
      <c r="F6" s="18" t="s">
        <v>34</v>
      </c>
      <c r="G6" s="19" t="s">
        <v>15</v>
      </c>
    </row>
    <row r="7">
      <c r="A7" s="14"/>
      <c r="B7" s="25" t="s">
        <v>29</v>
      </c>
      <c r="C7" s="26">
        <v>3.0</v>
      </c>
      <c r="D7" s="17" t="s">
        <v>12</v>
      </c>
      <c r="E7" s="18" t="s">
        <v>22</v>
      </c>
      <c r="F7" s="18" t="s">
        <v>34</v>
      </c>
      <c r="G7" s="19" t="s">
        <v>19</v>
      </c>
    </row>
    <row r="8">
      <c r="A8" s="14"/>
      <c r="B8" s="23"/>
      <c r="C8" s="23"/>
      <c r="D8" s="17" t="s">
        <v>16</v>
      </c>
      <c r="E8" s="18" t="s">
        <v>22</v>
      </c>
      <c r="F8" s="18" t="s">
        <v>34</v>
      </c>
      <c r="G8" s="19" t="s">
        <v>19</v>
      </c>
    </row>
    <row r="9">
      <c r="A9" s="14"/>
      <c r="B9" s="25" t="s">
        <v>31</v>
      </c>
      <c r="C9" s="26">
        <v>4.0</v>
      </c>
      <c r="D9" s="17" t="s">
        <v>12</v>
      </c>
      <c r="E9" s="19" t="s">
        <v>30</v>
      </c>
      <c r="F9" s="18" t="s">
        <v>34</v>
      </c>
      <c r="G9" s="19" t="s">
        <v>15</v>
      </c>
    </row>
    <row r="10">
      <c r="A10" s="14"/>
      <c r="B10" s="24"/>
      <c r="C10" s="24"/>
      <c r="D10" s="17" t="s">
        <v>16</v>
      </c>
      <c r="E10" s="19" t="s">
        <v>30</v>
      </c>
      <c r="F10" s="18" t="s">
        <v>34</v>
      </c>
      <c r="G10" s="19" t="s">
        <v>15</v>
      </c>
    </row>
    <row r="11">
      <c r="A11" s="14"/>
      <c r="B11" s="23"/>
      <c r="C11" s="23"/>
      <c r="D11" s="17" t="s">
        <v>226</v>
      </c>
      <c r="E11" s="19" t="s">
        <v>30</v>
      </c>
      <c r="F11" s="18" t="s">
        <v>34</v>
      </c>
      <c r="G11" s="19" t="s">
        <v>15</v>
      </c>
    </row>
    <row r="12">
      <c r="A12" s="14"/>
      <c r="B12" s="191" t="s">
        <v>11</v>
      </c>
      <c r="C12" s="192">
        <v>5.0</v>
      </c>
      <c r="D12" s="17" t="s">
        <v>27</v>
      </c>
      <c r="E12" s="18" t="s">
        <v>44</v>
      </c>
      <c r="F12" s="19" t="s">
        <v>18</v>
      </c>
      <c r="G12" s="18" t="s">
        <v>15</v>
      </c>
    </row>
    <row r="13">
      <c r="A13" s="14"/>
      <c r="B13" s="15" t="s">
        <v>17</v>
      </c>
      <c r="C13" s="16">
        <v>6.0</v>
      </c>
      <c r="D13" s="17" t="s">
        <v>238</v>
      </c>
      <c r="E13" s="18" t="s">
        <v>22</v>
      </c>
      <c r="F13" s="19" t="s">
        <v>35</v>
      </c>
      <c r="G13" s="19" t="s">
        <v>19</v>
      </c>
    </row>
    <row r="14">
      <c r="A14" s="14"/>
      <c r="B14" s="24"/>
      <c r="C14" s="24"/>
      <c r="D14" s="17" t="s">
        <v>27</v>
      </c>
      <c r="E14" s="18" t="s">
        <v>22</v>
      </c>
      <c r="F14" s="19" t="s">
        <v>35</v>
      </c>
      <c r="G14" s="19" t="s">
        <v>19</v>
      </c>
    </row>
    <row r="15">
      <c r="A15" s="14"/>
      <c r="B15" s="23"/>
      <c r="C15" s="23"/>
      <c r="D15" s="17" t="s">
        <v>226</v>
      </c>
      <c r="E15" s="18" t="s">
        <v>22</v>
      </c>
      <c r="F15" s="19" t="s">
        <v>35</v>
      </c>
      <c r="G15" s="19" t="s">
        <v>19</v>
      </c>
    </row>
    <row r="16">
      <c r="A16" s="14"/>
      <c r="B16" s="191" t="s">
        <v>21</v>
      </c>
      <c r="C16" s="192">
        <v>7.0</v>
      </c>
      <c r="D16" s="17" t="s">
        <v>27</v>
      </c>
      <c r="E16" s="18" t="s">
        <v>43</v>
      </c>
      <c r="F16" s="18" t="s">
        <v>14</v>
      </c>
      <c r="G16" s="19" t="s">
        <v>15</v>
      </c>
    </row>
    <row r="17">
      <c r="A17" s="14"/>
      <c r="B17" s="191" t="s">
        <v>23</v>
      </c>
      <c r="C17" s="192">
        <v>8.0</v>
      </c>
      <c r="D17" s="17" t="s">
        <v>27</v>
      </c>
      <c r="E17" s="18" t="s">
        <v>22</v>
      </c>
      <c r="F17" s="19" t="s">
        <v>26</v>
      </c>
      <c r="G17" s="18" t="s">
        <v>19</v>
      </c>
    </row>
    <row r="18">
      <c r="A18" s="14"/>
      <c r="B18" s="25" t="s">
        <v>25</v>
      </c>
      <c r="C18" s="26">
        <v>9.0</v>
      </c>
      <c r="D18" s="17" t="s">
        <v>12</v>
      </c>
      <c r="E18" s="18" t="s">
        <v>22</v>
      </c>
      <c r="F18" s="18" t="s">
        <v>26</v>
      </c>
      <c r="G18" s="19" t="s">
        <v>19</v>
      </c>
    </row>
    <row r="19">
      <c r="A19" s="14"/>
      <c r="B19" s="23"/>
      <c r="C19" s="23"/>
      <c r="D19" s="17" t="s">
        <v>16</v>
      </c>
      <c r="E19" s="18" t="s">
        <v>22</v>
      </c>
      <c r="F19" s="18" t="s">
        <v>26</v>
      </c>
      <c r="G19" s="19" t="s">
        <v>19</v>
      </c>
    </row>
    <row r="20">
      <c r="A20" s="14"/>
      <c r="B20" s="25" t="s">
        <v>29</v>
      </c>
      <c r="C20" s="26">
        <v>10.0</v>
      </c>
      <c r="D20" s="17" t="s">
        <v>12</v>
      </c>
      <c r="E20" s="18" t="s">
        <v>22</v>
      </c>
      <c r="F20" s="18" t="s">
        <v>34</v>
      </c>
      <c r="G20" s="19" t="s">
        <v>19</v>
      </c>
    </row>
    <row r="21">
      <c r="A21" s="14"/>
      <c r="B21" s="23"/>
      <c r="C21" s="23"/>
      <c r="D21" s="17" t="s">
        <v>16</v>
      </c>
      <c r="E21" s="18" t="s">
        <v>22</v>
      </c>
      <c r="F21" s="18" t="s">
        <v>34</v>
      </c>
      <c r="G21" s="19" t="s">
        <v>19</v>
      </c>
    </row>
    <row r="22">
      <c r="A22" s="14"/>
      <c r="B22" s="25" t="s">
        <v>31</v>
      </c>
      <c r="C22" s="26">
        <v>11.0</v>
      </c>
      <c r="D22" s="17" t="s">
        <v>12</v>
      </c>
      <c r="E22" s="18" t="s">
        <v>44</v>
      </c>
      <c r="F22" s="18" t="s">
        <v>26</v>
      </c>
      <c r="G22" s="19" t="s">
        <v>15</v>
      </c>
    </row>
    <row r="23">
      <c r="A23" s="14"/>
      <c r="B23" s="23"/>
      <c r="C23" s="23"/>
      <c r="D23" s="17" t="s">
        <v>16</v>
      </c>
      <c r="E23" s="18" t="s">
        <v>44</v>
      </c>
      <c r="F23" s="18" t="s">
        <v>26</v>
      </c>
      <c r="G23" s="19" t="s">
        <v>15</v>
      </c>
    </row>
    <row r="24">
      <c r="A24" s="14"/>
      <c r="B24" s="15" t="s">
        <v>11</v>
      </c>
      <c r="C24" s="16">
        <v>12.0</v>
      </c>
      <c r="D24" s="17" t="s">
        <v>27</v>
      </c>
      <c r="E24" s="18" t="s">
        <v>44</v>
      </c>
      <c r="F24" s="19" t="s">
        <v>26</v>
      </c>
      <c r="G24" s="18" t="s">
        <v>15</v>
      </c>
    </row>
    <row r="25">
      <c r="A25" s="14"/>
      <c r="B25" s="23"/>
      <c r="C25" s="23"/>
      <c r="D25" s="17" t="s">
        <v>226</v>
      </c>
      <c r="E25" s="18" t="s">
        <v>44</v>
      </c>
      <c r="F25" s="19" t="s">
        <v>26</v>
      </c>
      <c r="G25" s="18" t="s">
        <v>15</v>
      </c>
    </row>
    <row r="26">
      <c r="A26" s="14"/>
      <c r="B26" s="191" t="s">
        <v>17</v>
      </c>
      <c r="C26" s="192">
        <v>13.0</v>
      </c>
      <c r="D26" s="17" t="s">
        <v>27</v>
      </c>
      <c r="E26" s="18" t="s">
        <v>22</v>
      </c>
      <c r="F26" s="18" t="s">
        <v>35</v>
      </c>
      <c r="G26" s="18" t="s">
        <v>15</v>
      </c>
    </row>
    <row r="27">
      <c r="A27" s="14"/>
      <c r="B27" s="191" t="s">
        <v>21</v>
      </c>
      <c r="C27" s="192">
        <v>14.0</v>
      </c>
      <c r="D27" s="17" t="s">
        <v>27</v>
      </c>
      <c r="E27" s="18" t="s">
        <v>22</v>
      </c>
      <c r="F27" s="19" t="s">
        <v>26</v>
      </c>
      <c r="G27" s="18" t="s">
        <v>19</v>
      </c>
    </row>
    <row r="28">
      <c r="A28" s="14"/>
      <c r="B28" s="191" t="s">
        <v>23</v>
      </c>
      <c r="C28" s="192">
        <v>15.0</v>
      </c>
      <c r="D28" s="17" t="s">
        <v>27</v>
      </c>
      <c r="E28" s="18" t="s">
        <v>22</v>
      </c>
      <c r="F28" s="19" t="s">
        <v>26</v>
      </c>
      <c r="G28" s="18" t="s">
        <v>19</v>
      </c>
    </row>
    <row r="29">
      <c r="A29" s="14"/>
      <c r="B29" s="25" t="s">
        <v>25</v>
      </c>
      <c r="C29" s="26">
        <v>16.0</v>
      </c>
      <c r="D29" s="17" t="s">
        <v>12</v>
      </c>
      <c r="E29" s="18" t="s">
        <v>13</v>
      </c>
      <c r="F29" s="18" t="s">
        <v>34</v>
      </c>
      <c r="G29" s="18" t="s">
        <v>15</v>
      </c>
    </row>
    <row r="30">
      <c r="A30" s="14"/>
      <c r="B30" s="23"/>
      <c r="C30" s="23"/>
      <c r="D30" s="17" t="s">
        <v>16</v>
      </c>
      <c r="E30" s="18" t="s">
        <v>13</v>
      </c>
      <c r="F30" s="18" t="s">
        <v>34</v>
      </c>
      <c r="G30" s="18" t="s">
        <v>15</v>
      </c>
    </row>
    <row r="31">
      <c r="A31" s="14"/>
      <c r="B31" s="25" t="s">
        <v>29</v>
      </c>
      <c r="C31" s="26">
        <v>17.0</v>
      </c>
      <c r="D31" s="17" t="s">
        <v>12</v>
      </c>
      <c r="E31" s="18" t="s">
        <v>22</v>
      </c>
      <c r="F31" s="18" t="s">
        <v>34</v>
      </c>
      <c r="G31" s="18" t="s">
        <v>15</v>
      </c>
    </row>
    <row r="32">
      <c r="A32" s="14"/>
      <c r="B32" s="23"/>
      <c r="C32" s="23"/>
      <c r="D32" s="17" t="s">
        <v>16</v>
      </c>
      <c r="E32" s="18" t="s">
        <v>22</v>
      </c>
      <c r="F32" s="18" t="s">
        <v>34</v>
      </c>
      <c r="G32" s="18" t="s">
        <v>15</v>
      </c>
    </row>
    <row r="33">
      <c r="A33" s="14"/>
      <c r="B33" s="25" t="s">
        <v>31</v>
      </c>
      <c r="C33" s="26">
        <v>18.0</v>
      </c>
      <c r="D33" s="17" t="s">
        <v>12</v>
      </c>
      <c r="E33" s="18" t="s">
        <v>43</v>
      </c>
      <c r="F33" s="18" t="s">
        <v>26</v>
      </c>
      <c r="G33" s="18" t="s">
        <v>15</v>
      </c>
    </row>
    <row r="34">
      <c r="A34" s="14"/>
      <c r="B34" s="23"/>
      <c r="C34" s="23"/>
      <c r="D34" s="17" t="s">
        <v>16</v>
      </c>
      <c r="E34" s="18" t="s">
        <v>43</v>
      </c>
      <c r="F34" s="18" t="s">
        <v>26</v>
      </c>
      <c r="G34" s="18" t="s">
        <v>15</v>
      </c>
    </row>
    <row r="35">
      <c r="A35" s="14"/>
      <c r="B35" s="191" t="s">
        <v>11</v>
      </c>
      <c r="C35" s="192">
        <v>19.0</v>
      </c>
      <c r="D35" s="17" t="s">
        <v>27</v>
      </c>
      <c r="E35" s="18" t="s">
        <v>22</v>
      </c>
      <c r="F35" s="19" t="s">
        <v>35</v>
      </c>
      <c r="G35" s="18" t="s">
        <v>19</v>
      </c>
      <c r="H35" s="1"/>
    </row>
    <row r="36">
      <c r="A36" s="14"/>
      <c r="B36" s="191" t="s">
        <v>17</v>
      </c>
      <c r="C36" s="192">
        <v>20.0</v>
      </c>
      <c r="D36" s="17" t="s">
        <v>27</v>
      </c>
      <c r="E36" s="18" t="s">
        <v>22</v>
      </c>
      <c r="F36" s="18" t="s">
        <v>35</v>
      </c>
      <c r="G36" s="18" t="s">
        <v>19</v>
      </c>
    </row>
    <row r="37">
      <c r="A37" s="14"/>
      <c r="B37" s="15" t="s">
        <v>21</v>
      </c>
      <c r="C37" s="16">
        <v>21.0</v>
      </c>
      <c r="D37" s="17" t="s">
        <v>238</v>
      </c>
      <c r="E37" s="18" t="s">
        <v>44</v>
      </c>
      <c r="F37" s="19" t="s">
        <v>26</v>
      </c>
      <c r="G37" s="18" t="s">
        <v>19</v>
      </c>
    </row>
    <row r="38">
      <c r="A38" s="14"/>
      <c r="B38" s="23"/>
      <c r="C38" s="23"/>
      <c r="D38" s="17" t="s">
        <v>27</v>
      </c>
      <c r="E38" s="18" t="s">
        <v>43</v>
      </c>
      <c r="F38" s="19" t="s">
        <v>26</v>
      </c>
      <c r="G38" s="18" t="s">
        <v>19</v>
      </c>
    </row>
    <row r="39">
      <c r="A39" s="14"/>
      <c r="B39" s="191" t="s">
        <v>23</v>
      </c>
      <c r="C39" s="192">
        <v>22.0</v>
      </c>
      <c r="D39" s="17" t="s">
        <v>27</v>
      </c>
      <c r="E39" s="18" t="s">
        <v>22</v>
      </c>
      <c r="F39" s="19" t="s">
        <v>26</v>
      </c>
      <c r="G39" s="18" t="s">
        <v>19</v>
      </c>
    </row>
    <row r="40">
      <c r="A40" s="14"/>
      <c r="B40" s="25" t="s">
        <v>25</v>
      </c>
      <c r="C40" s="26">
        <v>23.0</v>
      </c>
      <c r="D40" s="17" t="s">
        <v>12</v>
      </c>
      <c r="E40" s="18" t="s">
        <v>22</v>
      </c>
      <c r="F40" s="18" t="s">
        <v>34</v>
      </c>
      <c r="G40" s="19" t="s">
        <v>15</v>
      </c>
    </row>
    <row r="41">
      <c r="A41" s="14"/>
      <c r="B41" s="23"/>
      <c r="C41" s="23"/>
      <c r="D41" s="17" t="s">
        <v>16</v>
      </c>
      <c r="E41" s="18" t="s">
        <v>22</v>
      </c>
      <c r="F41" s="18" t="s">
        <v>34</v>
      </c>
      <c r="G41" s="19" t="s">
        <v>15</v>
      </c>
    </row>
    <row r="42">
      <c r="A42" s="14"/>
      <c r="B42" s="25" t="s">
        <v>29</v>
      </c>
      <c r="C42" s="26">
        <v>24.0</v>
      </c>
      <c r="D42" s="17" t="s">
        <v>12</v>
      </c>
      <c r="E42" s="18" t="s">
        <v>30</v>
      </c>
      <c r="F42" s="18" t="s">
        <v>34</v>
      </c>
      <c r="G42" s="18" t="s">
        <v>19</v>
      </c>
    </row>
    <row r="43">
      <c r="A43" s="14"/>
      <c r="B43" s="23"/>
      <c r="C43" s="23"/>
      <c r="D43" s="17" t="s">
        <v>16</v>
      </c>
      <c r="E43" s="18" t="s">
        <v>30</v>
      </c>
      <c r="F43" s="18" t="s">
        <v>34</v>
      </c>
      <c r="G43" s="18" t="s">
        <v>19</v>
      </c>
    </row>
    <row r="44">
      <c r="A44" s="14"/>
      <c r="B44" s="25" t="s">
        <v>31</v>
      </c>
      <c r="C44" s="26">
        <v>25.0</v>
      </c>
      <c r="D44" s="17" t="s">
        <v>12</v>
      </c>
      <c r="E44" s="19" t="s">
        <v>30</v>
      </c>
      <c r="F44" s="18" t="s">
        <v>34</v>
      </c>
      <c r="G44" s="18" t="s">
        <v>19</v>
      </c>
    </row>
    <row r="45">
      <c r="A45" s="14"/>
      <c r="B45" s="23"/>
      <c r="C45" s="23"/>
      <c r="D45" s="17" t="s">
        <v>16</v>
      </c>
      <c r="E45" s="19" t="s">
        <v>30</v>
      </c>
      <c r="F45" s="18" t="s">
        <v>34</v>
      </c>
      <c r="G45" s="18" t="s">
        <v>19</v>
      </c>
    </row>
    <row r="46">
      <c r="A46" s="14"/>
      <c r="B46" s="191" t="s">
        <v>11</v>
      </c>
      <c r="C46" s="192">
        <v>26.0</v>
      </c>
      <c r="D46" s="17" t="s">
        <v>27</v>
      </c>
      <c r="E46" s="18" t="s">
        <v>43</v>
      </c>
      <c r="F46" s="18" t="s">
        <v>18</v>
      </c>
      <c r="G46" s="18" t="s">
        <v>15</v>
      </c>
    </row>
    <row r="47">
      <c r="A47" s="14"/>
      <c r="B47" s="15" t="s">
        <v>17</v>
      </c>
      <c r="C47" s="16">
        <v>27.0</v>
      </c>
      <c r="D47" s="17" t="s">
        <v>238</v>
      </c>
      <c r="E47" s="18" t="s">
        <v>22</v>
      </c>
      <c r="F47" s="19" t="s">
        <v>26</v>
      </c>
      <c r="G47" s="18" t="s">
        <v>19</v>
      </c>
    </row>
    <row r="48">
      <c r="A48" s="14"/>
      <c r="B48" s="23"/>
      <c r="C48" s="23"/>
      <c r="D48" s="17" t="s">
        <v>27</v>
      </c>
      <c r="E48" s="18" t="s">
        <v>22</v>
      </c>
      <c r="F48" s="19" t="s">
        <v>26</v>
      </c>
      <c r="G48" s="18" t="s">
        <v>19</v>
      </c>
    </row>
    <row r="49">
      <c r="A49" s="14"/>
      <c r="B49" s="191" t="s">
        <v>21</v>
      </c>
      <c r="C49" s="192">
        <v>28.0</v>
      </c>
      <c r="D49" s="17" t="s">
        <v>27</v>
      </c>
      <c r="E49" s="18" t="s">
        <v>22</v>
      </c>
      <c r="F49" s="19" t="s">
        <v>26</v>
      </c>
      <c r="G49" s="18" t="s">
        <v>19</v>
      </c>
    </row>
    <row r="50">
      <c r="A50" s="14"/>
      <c r="B50" s="191" t="s">
        <v>23</v>
      </c>
      <c r="C50" s="192">
        <v>29.0</v>
      </c>
      <c r="D50" s="17" t="s">
        <v>27</v>
      </c>
      <c r="E50" s="18" t="s">
        <v>13</v>
      </c>
      <c r="F50" s="19" t="s">
        <v>26</v>
      </c>
      <c r="G50" s="18" t="s">
        <v>15</v>
      </c>
    </row>
    <row r="51">
      <c r="A51" s="14"/>
      <c r="B51" s="25" t="s">
        <v>25</v>
      </c>
      <c r="C51" s="26">
        <v>30.0</v>
      </c>
      <c r="D51" s="17" t="s">
        <v>12</v>
      </c>
      <c r="E51" s="18" t="s">
        <v>22</v>
      </c>
      <c r="F51" s="19" t="s">
        <v>26</v>
      </c>
      <c r="G51" s="18" t="s">
        <v>19</v>
      </c>
    </row>
    <row r="52">
      <c r="A52" s="14"/>
      <c r="B52" s="23"/>
      <c r="C52" s="23"/>
      <c r="D52" s="17" t="s">
        <v>16</v>
      </c>
      <c r="E52" s="18" t="s">
        <v>22</v>
      </c>
      <c r="F52" s="19" t="s">
        <v>26</v>
      </c>
      <c r="G52" s="18" t="s">
        <v>19</v>
      </c>
    </row>
    <row r="53">
      <c r="A53" s="14"/>
      <c r="B53" s="25" t="s">
        <v>29</v>
      </c>
      <c r="C53" s="26">
        <v>31.0</v>
      </c>
      <c r="D53" s="17" t="s">
        <v>12</v>
      </c>
      <c r="E53" s="18" t="s">
        <v>22</v>
      </c>
      <c r="F53" s="19" t="s">
        <v>26</v>
      </c>
      <c r="G53" s="19" t="s">
        <v>15</v>
      </c>
    </row>
    <row r="54">
      <c r="A54" s="14"/>
      <c r="B54" s="23"/>
      <c r="C54" s="23"/>
      <c r="D54" s="17" t="s">
        <v>16</v>
      </c>
      <c r="E54" s="18" t="s">
        <v>22</v>
      </c>
      <c r="F54" s="19" t="s">
        <v>26</v>
      </c>
      <c r="G54" s="19" t="s">
        <v>15</v>
      </c>
    </row>
    <row r="55">
      <c r="E55" s="63">
        <f>COUNTIF(E4:E54, "Mira") + Countif(E4:E54, "Tuna")+ Countif(E4:E54, "Gustavo")+ Countif(E4:E54, "Pablo")+ Countif(E4:E54, "Tavares")+ Countif(E4:E54, "Sobral") + Countif(E4:E54, "Pipo")+ Countif(E4:E54, "Enfermagem")+ Countif(E4:E54, "Literatus")+ Countif(E4:E54, "Medicina")</f>
        <v>51</v>
      </c>
      <c r="F55" s="63">
        <f>Countif(F4:F54, "Gift") + Countif(F4:F54, "Monte") + Countif(F4:F54, "Sorte") + Countif(F4:F54, "Afonso") + Countif(F4:F54, "Geni") + Countif(F4:F54, "JP")</f>
        <v>51</v>
      </c>
      <c r="G55" s="63">
        <f>Countif(G4:G54, "Apostas") + Countif(G4:G54, "Prodígio") + Countif(G4:G54, "Tiago")</f>
        <v>51</v>
      </c>
    </row>
    <row r="60" ht="22.5" customHeight="1">
      <c r="D60" s="65" t="s">
        <v>36</v>
      </c>
      <c r="E60" s="65" t="s">
        <v>37</v>
      </c>
      <c r="F60" s="65" t="s">
        <v>38</v>
      </c>
      <c r="G60" s="66" t="s">
        <v>39</v>
      </c>
      <c r="H60" s="67" t="s">
        <v>40</v>
      </c>
      <c r="K60" s="139" t="s">
        <v>52</v>
      </c>
    </row>
    <row r="61" ht="22.5" customHeight="1">
      <c r="C61" s="69" t="s">
        <v>42</v>
      </c>
      <c r="D61" s="70" t="s">
        <v>22</v>
      </c>
      <c r="E61" s="71">
        <f>COUNTIF(E4:E54,"Tuna")</f>
        <v>27</v>
      </c>
      <c r="F61" s="72">
        <f t="shared" ref="F61:F76" si="1">((60/3)*E61)</f>
        <v>540</v>
      </c>
      <c r="G61" s="73">
        <f>E55</f>
        <v>51</v>
      </c>
      <c r="H61" s="74">
        <f>SUM(F61:F67)</f>
        <v>1020</v>
      </c>
      <c r="J61" s="147"/>
      <c r="K61" s="223" t="s">
        <v>56</v>
      </c>
      <c r="L61" s="373"/>
    </row>
    <row r="62" ht="22.5" customHeight="1">
      <c r="C62" s="77"/>
      <c r="D62" s="78" t="s">
        <v>30</v>
      </c>
      <c r="E62" s="79">
        <f>COUNTIF(E4:E54,"Mira")</f>
        <v>9</v>
      </c>
      <c r="F62" s="80">
        <f t="shared" si="1"/>
        <v>180</v>
      </c>
      <c r="G62" s="81"/>
      <c r="H62" s="82"/>
      <c r="J62" s="155"/>
      <c r="K62" s="225" t="s">
        <v>59</v>
      </c>
      <c r="L62" s="373"/>
    </row>
    <row r="63" ht="22.5" customHeight="1">
      <c r="C63" s="77"/>
      <c r="D63" s="78" t="s">
        <v>201</v>
      </c>
      <c r="E63" s="79">
        <f>COUNTIF(E4:E54,"Gustavo")</f>
        <v>0</v>
      </c>
      <c r="F63" s="80">
        <f t="shared" si="1"/>
        <v>0</v>
      </c>
      <c r="G63" s="81"/>
      <c r="H63" s="82"/>
      <c r="J63" s="162"/>
      <c r="K63" s="225" t="s">
        <v>62</v>
      </c>
      <c r="L63" s="373"/>
    </row>
    <row r="64" ht="22.5" customHeight="1">
      <c r="C64" s="77"/>
      <c r="D64" s="78" t="s">
        <v>43</v>
      </c>
      <c r="E64" s="79">
        <f>COUNTIF(E4:E54,"Pablo")</f>
        <v>5</v>
      </c>
      <c r="F64" s="84">
        <f t="shared" si="1"/>
        <v>100</v>
      </c>
      <c r="G64" s="81"/>
      <c r="H64" s="82"/>
      <c r="J64" s="166"/>
      <c r="K64" s="223" t="s">
        <v>64</v>
      </c>
      <c r="L64" s="373"/>
    </row>
    <row r="65" ht="22.5" customHeight="1">
      <c r="C65" s="77"/>
      <c r="D65" s="78" t="s">
        <v>44</v>
      </c>
      <c r="E65" s="79">
        <f>COUNTIF(E4:E54,"Tavares")</f>
        <v>7</v>
      </c>
      <c r="F65" s="84">
        <f t="shared" si="1"/>
        <v>140</v>
      </c>
      <c r="G65" s="81"/>
      <c r="H65" s="82"/>
      <c r="J65" s="376" t="s">
        <v>65</v>
      </c>
      <c r="K65" s="225" t="s">
        <v>66</v>
      </c>
      <c r="L65" s="373"/>
    </row>
    <row r="66" ht="22.5" customHeight="1">
      <c r="C66" s="77"/>
      <c r="D66" s="85" t="s">
        <v>207</v>
      </c>
      <c r="E66" s="86">
        <f>COUNTIF(E4:E54,"Sobral")</f>
        <v>0</v>
      </c>
      <c r="F66" s="87">
        <f t="shared" si="1"/>
        <v>0</v>
      </c>
      <c r="G66" s="81"/>
      <c r="H66" s="82"/>
      <c r="J66" s="168" t="s">
        <v>65</v>
      </c>
      <c r="K66" s="225" t="s">
        <v>202</v>
      </c>
      <c r="L66" s="373"/>
    </row>
    <row r="67" ht="22.5" customHeight="1">
      <c r="C67" s="91"/>
      <c r="D67" s="92" t="s">
        <v>13</v>
      </c>
      <c r="E67" s="93">
        <f>COUNTIF(E4:E54,"Pipo")</f>
        <v>3</v>
      </c>
      <c r="F67" s="94">
        <f t="shared" si="1"/>
        <v>60</v>
      </c>
      <c r="G67" s="95"/>
      <c r="H67" s="96"/>
      <c r="J67" s="169" t="s">
        <v>28</v>
      </c>
      <c r="K67" s="225" t="s">
        <v>203</v>
      </c>
      <c r="L67" s="373"/>
    </row>
    <row r="68" ht="22.5" customHeight="1">
      <c r="C68" s="69" t="s">
        <v>47</v>
      </c>
      <c r="D68" s="99" t="s">
        <v>35</v>
      </c>
      <c r="E68" s="100">
        <f>Countif(F4:F54,"Gift")</f>
        <v>6</v>
      </c>
      <c r="F68" s="101">
        <f t="shared" si="1"/>
        <v>120</v>
      </c>
      <c r="G68" s="102">
        <f>F55</f>
        <v>51</v>
      </c>
      <c r="H68" s="103">
        <f>SUM(F68:F73)</f>
        <v>1020</v>
      </c>
      <c r="J68" s="170"/>
      <c r="K68" s="225" t="s">
        <v>69</v>
      </c>
      <c r="L68" s="373"/>
    </row>
    <row r="69" ht="22.5" customHeight="1">
      <c r="C69" s="77"/>
      <c r="D69" s="99" t="s">
        <v>34</v>
      </c>
      <c r="E69" s="100">
        <f>Countif(F4:F54,"Monte")</f>
        <v>19</v>
      </c>
      <c r="F69" s="101">
        <f t="shared" si="1"/>
        <v>380</v>
      </c>
      <c r="G69" s="106"/>
      <c r="H69" s="82"/>
      <c r="J69" s="171" t="s">
        <v>65</v>
      </c>
      <c r="K69" s="225" t="s">
        <v>68</v>
      </c>
      <c r="L69" s="373"/>
    </row>
    <row r="70" ht="22.5" customHeight="1">
      <c r="C70" s="77"/>
      <c r="D70" s="99" t="s">
        <v>26</v>
      </c>
      <c r="E70" s="100">
        <f>Countif(F4:F54,"Sorte")</f>
        <v>23</v>
      </c>
      <c r="F70" s="101">
        <f t="shared" si="1"/>
        <v>460</v>
      </c>
      <c r="G70" s="106"/>
      <c r="H70" s="82"/>
      <c r="J70" s="377">
        <v>51.0</v>
      </c>
      <c r="K70" s="225" t="s">
        <v>71</v>
      </c>
      <c r="L70" s="373"/>
    </row>
    <row r="71" ht="22.5" customHeight="1">
      <c r="C71" s="77"/>
      <c r="D71" s="99" t="s">
        <v>14</v>
      </c>
      <c r="E71" s="100">
        <f>Countif(F4:F54,"Afonso")</f>
        <v>1</v>
      </c>
      <c r="F71" s="101">
        <f t="shared" si="1"/>
        <v>20</v>
      </c>
      <c r="G71" s="106"/>
      <c r="H71" s="82"/>
    </row>
    <row r="72" ht="22.5" customHeight="1">
      <c r="C72" s="77"/>
      <c r="D72" s="85" t="s">
        <v>18</v>
      </c>
      <c r="E72" s="86">
        <f>Countif(F4:F54,"Geni")</f>
        <v>2</v>
      </c>
      <c r="F72" s="87">
        <f t="shared" si="1"/>
        <v>40</v>
      </c>
      <c r="G72" s="106"/>
      <c r="H72" s="82"/>
    </row>
    <row r="73" ht="22.5" customHeight="1">
      <c r="C73" s="91"/>
      <c r="D73" s="99" t="s">
        <v>48</v>
      </c>
      <c r="E73" s="100">
        <f>Countif(F4:F54,"JP")</f>
        <v>0</v>
      </c>
      <c r="F73" s="101">
        <f t="shared" si="1"/>
        <v>0</v>
      </c>
      <c r="G73" s="106"/>
      <c r="H73" s="82"/>
    </row>
    <row r="74" ht="22.5" customHeight="1">
      <c r="C74" s="69" t="s">
        <v>49</v>
      </c>
      <c r="D74" s="114" t="s">
        <v>19</v>
      </c>
      <c r="E74" s="115">
        <f>Countif(G4:G54,"Apostas")</f>
        <v>26</v>
      </c>
      <c r="F74" s="112">
        <f t="shared" si="1"/>
        <v>520</v>
      </c>
      <c r="G74" s="73">
        <f>G55</f>
        <v>51</v>
      </c>
      <c r="H74" s="74">
        <f>SUM(F74:F76)</f>
        <v>1020</v>
      </c>
    </row>
    <row r="75" ht="22.5" customHeight="1">
      <c r="C75" s="77"/>
      <c r="D75" s="120" t="s">
        <v>15</v>
      </c>
      <c r="E75" s="121">
        <f>Countif(G4:G54,"Prodígio")</f>
        <v>25</v>
      </c>
      <c r="F75" s="119">
        <f t="shared" si="1"/>
        <v>500</v>
      </c>
      <c r="G75" s="81"/>
      <c r="H75" s="82"/>
    </row>
    <row r="76" ht="22.5" customHeight="1">
      <c r="C76" s="91"/>
      <c r="D76" s="412" t="s">
        <v>237</v>
      </c>
      <c r="E76" s="413">
        <f>Countif(G4:G54,"Tiago")</f>
        <v>0</v>
      </c>
      <c r="F76" s="414">
        <f t="shared" si="1"/>
        <v>0</v>
      </c>
      <c r="G76" s="130"/>
      <c r="H76" s="127"/>
    </row>
    <row r="77">
      <c r="H77" s="371">
        <f>SUM(H61:H76)</f>
        <v>3060</v>
      </c>
    </row>
    <row r="78">
      <c r="H78" s="135"/>
    </row>
    <row r="81" ht="22.5" customHeight="1">
      <c r="D81" s="136" t="s">
        <v>36</v>
      </c>
      <c r="E81" s="136" t="s">
        <v>37</v>
      </c>
      <c r="F81" s="136" t="s">
        <v>38</v>
      </c>
      <c r="G81" s="137" t="s">
        <v>40</v>
      </c>
      <c r="J81" s="138" t="s">
        <v>6</v>
      </c>
      <c r="K81" s="100" t="s">
        <v>51</v>
      </c>
    </row>
    <row r="82" ht="22.5" customHeight="1">
      <c r="C82" s="140" t="s">
        <v>53</v>
      </c>
      <c r="D82" s="141" t="s">
        <v>54</v>
      </c>
      <c r="E82" s="142">
        <f>COUNTIF(E27:E54,"Medicina")</f>
        <v>0</v>
      </c>
      <c r="F82" s="143">
        <f t="shared" ref="F82:F84" si="2">((60/3)*E82)</f>
        <v>0</v>
      </c>
      <c r="G82" s="144">
        <f>SUM(F82:F84)</f>
        <v>0</v>
      </c>
      <c r="J82" s="145" t="s">
        <v>55</v>
      </c>
      <c r="K82" s="146">
        <v>20.0</v>
      </c>
    </row>
    <row r="83" ht="22.5" customHeight="1">
      <c r="C83" s="116"/>
      <c r="D83" s="150" t="s">
        <v>57</v>
      </c>
      <c r="E83" s="88">
        <f>COUNTIF(E27:E54,"Literatus")</f>
        <v>0</v>
      </c>
      <c r="F83" s="151">
        <f t="shared" si="2"/>
        <v>0</v>
      </c>
      <c r="G83" s="152"/>
      <c r="J83" s="153" t="s">
        <v>58</v>
      </c>
      <c r="K83" s="154">
        <v>20.0</v>
      </c>
    </row>
    <row r="84" ht="22.5" customHeight="1">
      <c r="C84" s="124"/>
      <c r="D84" s="158" t="s">
        <v>60</v>
      </c>
      <c r="E84" s="159">
        <f>COUNTIF(E27:E54,"Enfermagem")</f>
        <v>0</v>
      </c>
      <c r="F84" s="160">
        <f t="shared" si="2"/>
        <v>0</v>
      </c>
      <c r="G84" s="161"/>
      <c r="J84" s="153" t="s">
        <v>61</v>
      </c>
      <c r="K84" s="154">
        <v>20.0</v>
      </c>
    </row>
    <row r="85" ht="22.5" customHeight="1">
      <c r="G85" s="375">
        <f>SUM(G82:G84)</f>
        <v>0</v>
      </c>
      <c r="J85" s="164" t="s">
        <v>63</v>
      </c>
      <c r="K85" s="165">
        <v>20.0</v>
      </c>
    </row>
    <row r="86">
      <c r="G86" s="161"/>
    </row>
  </sheetData>
  <mergeCells count="63">
    <mergeCell ref="C61:C67"/>
    <mergeCell ref="C68:C73"/>
    <mergeCell ref="C74:C76"/>
    <mergeCell ref="C82:C84"/>
    <mergeCell ref="G74:G76"/>
    <mergeCell ref="H74:H76"/>
    <mergeCell ref="H77:H78"/>
    <mergeCell ref="G82:G84"/>
    <mergeCell ref="G85:G86"/>
    <mergeCell ref="C42:C43"/>
    <mergeCell ref="C44:C45"/>
    <mergeCell ref="C47:C48"/>
    <mergeCell ref="C51:C52"/>
    <mergeCell ref="C53:C54"/>
    <mergeCell ref="G61:G67"/>
    <mergeCell ref="H61:H67"/>
    <mergeCell ref="B1:C1"/>
    <mergeCell ref="B2:G2"/>
    <mergeCell ref="J2:K2"/>
    <mergeCell ref="B5:B6"/>
    <mergeCell ref="C5:C6"/>
    <mergeCell ref="B7:B8"/>
    <mergeCell ref="C7:C8"/>
    <mergeCell ref="B9:B11"/>
    <mergeCell ref="C9:C11"/>
    <mergeCell ref="B13:B15"/>
    <mergeCell ref="C13:C15"/>
    <mergeCell ref="B18:B19"/>
    <mergeCell ref="C18:C19"/>
    <mergeCell ref="C20:C21"/>
    <mergeCell ref="B40:B41"/>
    <mergeCell ref="B42:B43"/>
    <mergeCell ref="B44:B45"/>
    <mergeCell ref="B47:B48"/>
    <mergeCell ref="B51:B52"/>
    <mergeCell ref="B53:B54"/>
    <mergeCell ref="B20:B21"/>
    <mergeCell ref="B22:B23"/>
    <mergeCell ref="B24:B25"/>
    <mergeCell ref="B29:B30"/>
    <mergeCell ref="B31:B32"/>
    <mergeCell ref="B33:B34"/>
    <mergeCell ref="B37:B38"/>
    <mergeCell ref="C22:C23"/>
    <mergeCell ref="C24:C25"/>
    <mergeCell ref="C29:C30"/>
    <mergeCell ref="C31:C32"/>
    <mergeCell ref="C33:C34"/>
    <mergeCell ref="C37:C38"/>
    <mergeCell ref="C40:C41"/>
    <mergeCell ref="G68:G73"/>
    <mergeCell ref="H68:H73"/>
    <mergeCell ref="K67:L67"/>
    <mergeCell ref="K68:L68"/>
    <mergeCell ref="K69:L69"/>
    <mergeCell ref="K70:L70"/>
    <mergeCell ref="K60:L60"/>
    <mergeCell ref="K61:L61"/>
    <mergeCell ref="K62:L62"/>
    <mergeCell ref="K63:L63"/>
    <mergeCell ref="K64:L64"/>
    <mergeCell ref="K65:L65"/>
    <mergeCell ref="K66:L66"/>
  </mergeCells>
  <conditionalFormatting sqref="C81">
    <cfRule type="notContainsBlanks" dxfId="7" priority="1">
      <formula>LEN(TRIM(C81))&gt;0</formula>
    </cfRule>
  </conditionalFormatting>
  <conditionalFormatting sqref="E4:E54">
    <cfRule type="cellIs" dxfId="10" priority="2" operator="equal">
      <formula>"-"</formula>
    </cfRule>
  </conditionalFormatting>
  <conditionalFormatting sqref="F4:F54">
    <cfRule type="cellIs" dxfId="10" priority="3" operator="equal">
      <formula>"-"</formula>
    </cfRule>
  </conditionalFormatting>
  <conditionalFormatting sqref="G4:G54">
    <cfRule type="cellIs" dxfId="10" priority="4" operator="equal">
      <formula>"-"</formula>
    </cfRule>
  </conditionalFormatting>
  <conditionalFormatting sqref="B4:G4">
    <cfRule type="expression" dxfId="11" priority="5">
      <formula>AND(ISNUMBER(B4),TRUNC(B4)&gt;TODAY())</formula>
    </cfRule>
  </conditionalFormatting>
  <conditionalFormatting sqref="B5:G6">
    <cfRule type="expression" dxfId="11" priority="6">
      <formula>AND(ISNUMBER(B5),TRUNC(B5)&gt;TODAY())</formula>
    </cfRule>
  </conditionalFormatting>
  <conditionalFormatting sqref="B7:G8">
    <cfRule type="expression" dxfId="11" priority="7">
      <formula>AND(ISNUMBER(B7),TRUNC(B7)&gt;TODAY())</formula>
    </cfRule>
  </conditionalFormatting>
  <conditionalFormatting sqref="B9:G11">
    <cfRule type="expression" dxfId="11" priority="8">
      <formula>AND(ISNUMBER(B9),TRUNC(B9)&gt;TODAY())</formula>
    </cfRule>
  </conditionalFormatting>
  <conditionalFormatting sqref="B12:G12">
    <cfRule type="expression" dxfId="11" priority="9">
      <formula>AND(ISNUMBER(B12),TRUNC(B12)&gt;TODAY())</formula>
    </cfRule>
  </conditionalFormatting>
  <conditionalFormatting sqref="B13:G15">
    <cfRule type="expression" dxfId="11" priority="10">
      <formula>AND(ISNUMBER(B13),TRUNC(B13)&gt;TODAY())</formula>
    </cfRule>
  </conditionalFormatting>
  <conditionalFormatting sqref="B16:G16">
    <cfRule type="expression" dxfId="11" priority="11">
      <formula>AND(ISNUMBER(B16),TRUNC(B16)&gt;TODAY())</formula>
    </cfRule>
  </conditionalFormatting>
  <conditionalFormatting sqref="B17:G17">
    <cfRule type="expression" dxfId="11" priority="12">
      <formula>AND(ISNUMBER(B17),TRUNC(B17)&gt;TODAY())</formula>
    </cfRule>
  </conditionalFormatting>
  <conditionalFormatting sqref="B18:G19">
    <cfRule type="expression" dxfId="11" priority="13">
      <formula>AND(ISNUMBER(B18),TRUNC(B18)&gt;TODAY())</formula>
    </cfRule>
  </conditionalFormatting>
  <dataValidations>
    <dataValidation type="list" allowBlank="1" showErrorMessage="1" sqref="G4:G54">
      <formula1>"Apostas,Prodígio,Tiago,-"</formula1>
    </dataValidation>
    <dataValidation type="list" allowBlank="1" showErrorMessage="1" sqref="F4:F54">
      <formula1>"Gift,Monte,Sorte,Afonso,Geni,JP,-"</formula1>
    </dataValidation>
    <dataValidation type="list" allowBlank="1" showErrorMessage="1" sqref="J68">
      <formula1>" -"</formula1>
    </dataValidation>
    <dataValidation type="list" allowBlank="1" showErrorMessage="1" sqref="E4:E54">
      <formula1>"Tuna,Gustavo,Mira,Pablo,Tavares,Sobral,Pipo,Medicina,Literatus,Enfermagem,-"</formula1>
    </dataValidation>
    <dataValidation type="list" allowBlank="1" showErrorMessage="1" sqref="J65">
      <formula1>"Nome"</formula1>
    </dataValidation>
    <dataValidation type="custom" allowBlank="1" showDropDown="1" sqref="F61:F76 F82:F84 K82:K85">
      <formula1>AND(ISNUMBER(F61),(NOT(OR(NOT(ISERROR(DATEVALUE(F61))), AND(ISNUMBER(F61), LEFT(CELL("format", F61))="D")))))</formula1>
    </dataValidation>
    <dataValidation type="list" allowBlank="1" showErrorMessage="1" sqref="D4:D54">
      <formula1>"19h00,18h00,19h30,21h00,21h30,16h00,16h15,16h30"</formula1>
    </dataValidation>
    <dataValidation type="list" allowBlank="1" showErrorMessage="1" sqref="J67">
      <formula1>"-"</formula1>
    </dataValidation>
    <dataValidation type="list" allowBlank="1" showErrorMessage="1" sqref="J66">
      <formula1>"Nome"</formula1>
    </dataValidation>
  </dataValidations>
  <drawing r:id="rId1"/>
  <tableParts count="3">
    <tablePart r:id="rId5"/>
    <tablePart r:id="rId6"/>
    <tablePart r:id="rId7"/>
  </tableParts>
</worksheet>
</file>